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1" sheetId="1" r:id="rId5"/>
    <sheet state="visible" name="Form2" sheetId="2" r:id="rId6"/>
    <sheet state="visible" name="Phổ điểm" sheetId="3" r:id="rId7"/>
  </sheets>
  <definedNames/>
  <calcPr/>
</workbook>
</file>

<file path=xl/sharedStrings.xml><?xml version="1.0" encoding="utf-8"?>
<sst xmlns="http://schemas.openxmlformats.org/spreadsheetml/2006/main" count="744" uniqueCount="213">
  <si>
    <t>Timestamp</t>
  </si>
  <si>
    <t>Email Address</t>
  </si>
  <si>
    <t>K1. Bạn có biết rằng thông tin trên mạng khi nhận được cần được xem xét, kiểm tra kỹ hơn bình thường hay không?</t>
  </si>
  <si>
    <t>K2. Bạn có hiểu tầm quan trọng của việc bảo vệ thông tin cá nhân khi sử dụng Internet không?</t>
  </si>
  <si>
    <t>K3. Bạn có biết bản thân phải làm gì (chẳng hạn kiểm tra lại thông tin, đi hỏi,...) khi gặp một tình huống khiến bạn phân vân không?</t>
  </si>
  <si>
    <t>K4. Bạn có nhận thấy được bản thân hay bị vội vàng khi gặp các yếu tố cụ thể nào đó (ví dụ thông tin quá nhiều, hạn chót quá gấp) hay không?</t>
  </si>
  <si>
    <t>K5. Bạn có biết về những hình thức lừa đảo phổ biến hiện nay nhắm tới học sinh, sinh viên không?</t>
  </si>
  <si>
    <t>A1. Khi gặp một thông tin chưa rõ đúng sai ra sao, bạn thường bình tĩnh để suy xét lại?</t>
  </si>
  <si>
    <t>A2. Bạn thường cân nhắc kĩ trước khi chia sẻ hoặc cung cấp thông tin cá nhân của mình trên mạng?</t>
  </si>
  <si>
    <t>A3. Khi nhận được một yêu cầu hay thông tin đến từ người quen (ví dụ bạn bè, gia đình, người thân,..), bạn có thường cân nhắc thật kĩ?</t>
  </si>
  <si>
    <t>A4. Khi gặp một chuyện đang cần làm gấp, bạn có thường quyết định luôn rồi xem xét lại sau không?</t>
  </si>
  <si>
    <t>A5. Khi gặp một tình huống cảm thấy đáng ngờ, bạn có thường tự mình quyết định luôn thay vì hỏi người khác vì có lý do gì đó (kiểu như ngại làm phiền người khác hoặc sợ bị đánh giá là không biết,...) hay không?</t>
  </si>
  <si>
    <t>A6. Bạn có cảm thấy tự tin bản thân sẽ nhận biết và tránh được các trường hợp lừa đảo không?</t>
  </si>
  <si>
    <t>A7. Bạn thường hoặc sẽ cảnh báo cho bạn bè, người thân, những người xung quanh về những hình thức lừa đảo mới chứ?</t>
  </si>
  <si>
    <t>B1. Bạn đang muốn tham gia một buổi hướng dẫn kỹ năng học tập do một đơn vị trong trường tổ chức. 
Bài đăng của họ nằm trên kênh thông báo mà sinh viên thường dùng để theo dõi hoạt động của đơn vị này. 
Nội dung bài đăng có ghi thời gian, địa điểm, chủ đề buổi học và tên người phụ trách khá rõ ràng. Còn biểu mẫu đăng ký yêu cầu họ tên, lớp, email liên hệ và ca muốn tham gia để ban tổ chức sắp xếp danh sách. 
Bạn cần làm gì?</t>
  </si>
  <si>
    <t>B2. Bạn là người được phân công mang bảng tên và danh sách điểm danh cho buổi sinh hoạt câu lạc bộ đầu giờ quan trọng lúc 18:00. 
Lúc 17:30, một bạn gửi vào nhóm chung ảnh chụp thông báo đổi địa điểm sang phòng khác. Ảnh có ghi thời gian và phòng mới, nhưng không thấy bài đăng nào bên kênh thông báo thường dùng của câu lạc bộ. 
Bạn nên làm gì?
Bạn không thể đi sai địa điểm vì như vậy sẽ gián đoạn buổi sinh hoạt quan trọng của câu lạc bộ.</t>
  </si>
  <si>
    <t>B3. Bạn đang cần tài liệu ôn tập cho bài kiểm tra. Trước đó, giảng viên có nói tài liệu chính thức sẽ được đăng trong mục “Tài liệu môn học” trên hệ thống học tập. Trong nhóm lớp, có một bạn gửi tin nhắn:
“Có bản tổng hợp này khá đầy đủ nè: study-docs-vn.com/on-tap-mon-hoc”
Khi mở trang, bạn thấy tiêu đề đúng tên môn học và có nút “Tải bản đầy đủ”. Sau khi bấm tải, trang yêu cầu bạn đăng nhập bằng tài khoản học tập để “xác minh sinh viên”.
Bạn nên làm gì?</t>
  </si>
  <si>
    <t>B4. Bạn thấy một bài đăng trong nhóm sinh viên:
“WORKSHOP NÂNG TẦM TƯ DUY SINH VIÊN
Có quà tặng nhỏ cho người tham gia.
Đăng ký trước 22:00 hôm nay để giữ suất.
Link form đăng ký bên dưới.”
Poster trong bài viết nhìn khá chỉn chu. Form đăng ký hỏi họ tên, lớp, email và số điện thoại. Tuy nhiên, trong bài đăng chỉ có tên workshop, chưa thấy thông tin về đơn vị tổ chức, thời gian diễn ra, địa điểm cụ thể hoặc người phụ trách.
Bạn nên làm gì?</t>
  </si>
  <si>
    <t>B5. Lớp bạn đã thống nhất làm áo lớp trong buổi họp trước. Hôm nay, thủ quỹ đăng trong nhóm lớp:
“Tiền áo nhóm: 85.000đ/người
Hạn đóng: trước Chủ nhật
STK: 0123456789
Tên người nhận: Nguyễn Minh Anh
Nội dung chuyển khoản: Họ tên + lớp”
Tên người nhận trùng với thủ quỹ của lớp, số tiền và nội dung thu cũng khớp với việc lớp đã thống nhất. Bạn có tham gia làm áo lớp.
Bạn đã thấy tin nhắn, vậy bạn nên làm gì?</t>
  </si>
  <si>
    <t>B6. Bạn muốn mua lại một cuốn giáo trình cũ trong nhóm trao đổi sách sinh viên. Người bán gửi ảnh sách, giá hợp lý và nói có thể giao trong trường vào ngày mai. Tuy nhiên, người bán muốn bạn chuyển cọc trong 10 phút để giữ sách. Bạn chưa từng giao dịch với người này.
Bạn nên làm gì?</t>
  </si>
  <si>
    <t>B7. Bạn đang lên nhóm lớp xem thông tin thì thấy có tin nhắn mới thì một người bạn. Họ gửi lên một đường dẫn khảo sát và nhờ các bạn trong lớp đăng nhập và làm khảo sát hộ cho nghiên cứu của họ. Họ dặn cứ làm xong nhắn riêng cho họ, và gửi ảnh minh chứng, họ sẽ gửi quà.
Bạn nên làm gì?</t>
  </si>
  <si>
    <t>B8. Một người quen nhắn bạn: “Vào link này đăng nhập xác nhận rồi like giúp mình với, nhanh nha. Này là cuộc thi mình tham gia ấy.” Họ nhắn khá là ngắn gọn kèm một đường dẫn, đề cập đang bận nên không tiện gọi điện. 
Bạn nên làm gì?</t>
  </si>
  <si>
    <t>Score</t>
  </si>
  <si>
    <t>thangtran07072004@gmail.com</t>
  </si>
  <si>
    <t>Điền thông tin cần thiết, vì các thông tin được hỏi phù hợp với việc đăng ký hoạt động.</t>
  </si>
  <si>
    <t>Đi theo địa điểm trong ảnh vì ảnh đã ghi rõ thời gian và phòng mới.</t>
  </si>
  <si>
    <t>Tạm chưa đăng nhập; vào hệ thống học tập để tìm tài liệu chính thức hoặc hỏi lại giảng viên trước khi dùng trang này.</t>
  </si>
  <si>
    <t>Tìm thêm thông tin về đơn vị tổ chức, thời gian, địa điểm và người phụ trách rồi cân nhắc thật kĩ hành động tiếp theo.</t>
  </si>
  <si>
    <t>Có thể chuyển khoản theo thông báo nếu thông tin khớp với việc lớp đã thống nhất.</t>
  </si>
  <si>
    <t>Đề nghị gặp trực tiếp ở nơi phù hợp trong trường rồi thanh toán khi nhận sách, hoặc xác minh thêm trước khi chuyển cọc.</t>
  </si>
  <si>
    <t>Xác minh lại các đường dẫn, giao diện, không cung cấp thông tin bảo mật. Hỏi và thảo luận với các bạn khác rồi cân nhắc có nên giúp không.</t>
  </si>
  <si>
    <t>Đòi xác nhận lại qua cuộc gọi hoặc gặp mặt trực tiếp, hoặc kiểm tra thật kĩ các đường dẫn trước khi định làm.</t>
  </si>
  <si>
    <t>trungdo2306@gmail.com</t>
  </si>
  <si>
    <t>Kiểm tra lại với người phụ trách hoặc kênh thông báo câu lạc bộ thường dùng, nhắn hỏi lại trước khi đi.</t>
  </si>
  <si>
    <t>Chuyển một khoản nhỏ hơn số tiền cọc để thử xem người bán có giữ sách không.</t>
  </si>
  <si>
    <t>nguyenlanhuong15679@gmail.com</t>
  </si>
  <si>
    <t>Nhờ bạn gửi link tải hộ rồi nhận lại file từ bạn đó để mình không cần đăng nhập.</t>
  </si>
  <si>
    <t>Mở link trước; nếu giao diện nhìn quen thì cứ tiếp tục đăng nhập thôi.</t>
  </si>
  <si>
    <t>ngnghia021204@gmail.com</t>
  </si>
  <si>
    <t>Đăng nhập để làm, vì là người quen và cũng là chuyện bình thường</t>
  </si>
  <si>
    <t>teomachine0@gmail.com</t>
  </si>
  <si>
    <t>Không điền, vì chỉ cần là form online có hỏi thông tin cá nhân thì tốt nhất nên tránh.</t>
  </si>
  <si>
    <t>Liên hệ, gặp mặt trực tiếp để xác minh trước khi chuyển tiền</t>
  </si>
  <si>
    <t>1846colh1093@gmail.com</t>
  </si>
  <si>
    <t>phantrungducnguyen@gmail.com</t>
  </si>
  <si>
    <t>nguyencongloiero112233@gmail.com</t>
  </si>
  <si>
    <t>Chuyển cọc ngay vì sách đang cần và giá khá tốt.</t>
  </si>
  <si>
    <t>truongchiminh2k4@gmail.com</t>
  </si>
  <si>
    <t>akhaclinh123@gmail.com</t>
  </si>
  <si>
    <t>phuclion2013@gmail.com</t>
  </si>
  <si>
    <t>Xem bình luận, nếu nhiều người cũng quan tâm thì đăng ký theo.</t>
  </si>
  <si>
    <t>Làm giúp ngay, vì đó là người quen và việc cũng chẳng có gì to tát.</t>
  </si>
  <si>
    <t>chiennguyentranthanh123@gmail.com</t>
  </si>
  <si>
    <t>Giới tính của bạn là?</t>
  </si>
  <si>
    <t>Bạn bao nhiêu tuổi?</t>
  </si>
  <si>
    <t>Lĩnh vực học tập / làm việc</t>
  </si>
  <si>
    <t>K1. Bạn có biết rằng thông tin trên mạng khi nhận được cần được xem xét, kiểm tra kỹ hơn bình thường không?</t>
  </si>
  <si>
    <t>A1. Khi gặp một thông tin chưa rõ đúng sai ra sao, bạn chọn cách bình tĩnh để suy xét lại?</t>
  </si>
  <si>
    <t>A2. Bạn cân nhắc rất kĩ trước khi chia sẻ hoặc cung cấp thông tin cá nhân của mình trên mạng?</t>
  </si>
  <si>
    <t>A3. Khi nhận được một yêu cầu hay thông tin đến từ người quen (ví dụ bạn bè, gia đình, người thân,..), bạn có cân nhắc thật kĩ?</t>
  </si>
  <si>
    <t>A4. Khi gặp một chuyện đang cần làm gấp, bạn có quyết định luôn rồi xem xét lại sau không?</t>
  </si>
  <si>
    <t>A5. Khi gặp một tình huống cảm thấy đáng ngờ, bạn có tự mình quyết định luôn thay vì hỏi người khác vì có lý do gì đó (kiểu như ngại làm phiền người khác hoặc sợ bị đánh giá là không biết,...) hay không?</t>
  </si>
  <si>
    <t>A7. Bạn cảnh báo cho bạn bè, người thân, những người xung quanh về mỗi khi biết thêm những hình thức lừa đảo mới chứ?</t>
  </si>
  <si>
    <t>B1. Bạn thấy bài đăng tuyển cộng tác viên hỗ trợ sự kiện cuối tuần. 
Công việc mô tả khá phù hợp với sinh viên, thời gian linh hoạt và có phụ cấp sau buổi làm. 
Khi nhắn hỏi thêm, người đăng yêu cầu bạn đóng một khoản phí giữ chỗ trước, nói rằng nếu không đóng thì sẽ không đảm bảo suất sẽ bị chuyển cho người khác. Họ khuyên bạn nên cọc trước để chắc ăn.
Bạn nên làm gì?</t>
  </si>
  <si>
    <t>B2. Một bài đăng kêu gọi quyên góp cho một sinh viên gặp khó khăn được chia sẻ trong nhiều nhóm sinh viên. 
Bài viết có câu chuyện rất cảm động, có cả ảnh chụp và số tài khoản cá nhân để chuyển tiền. 
Tuy nhiên, bạn không thấy được thông tin bài viết trong các trang, nhóm của lớp, khoa, câu lạc bộ hay bất cứ đơn vị nào của trường. 
Bạn nên làm gì?</t>
  </si>
  <si>
    <t>B3. Bạn đã đăng nhập tài khoản học tập vào một trang tài liệu mới tìm được. Sau đó vài phút, bạn nhận được thông báo có lượt đăng nhập mới từ vị trí lạ. Tài khoản của bạn vẫn còn truy cập được bình thường.
Bạn nên làm gì?</t>
  </si>
  <si>
    <t>B4. Bạn đang cần tìm phòng trọ gần trường. Bạn tìm và gia nhập các hội nhóm liên quan đến chủ đề này ở nơi cần tìm.
Lướt qua các bài, bạn thấy một bài đăng có ảnh phòng khá đẹp, giá thấp hơn nhiều so với các phòng cùng khu vực. 
Khi liên hệ qua tin nhắn, người đăng nói phòng sắp tới sẽ có nhiều bên định thuê và yêu cầu chuyển cọc trong ngày để giữ phòng.
Bạn nên làm gì?</t>
  </si>
  <si>
    <t>B5. Bạn đang dùng ví điện tử thì nhận được cuộc gọi tự xưng là bộ phận hỗ trợ, nói tài khoản của bạn có giao dịch bất thường. Người gọi yêu cầu bạn đọc mã xác nhận vừa gửi về điện thoại qua tin nhắn để khóa giao dịch tài khoản, tránh mất tiền oan. 
Tin nhắn kèm mã xác nhận được gửi đến, và bạn cũng thấy thông báo có thiết bị mới đòi quyền đăng nhập. 
Bạn nên làm gì?</t>
  </si>
  <si>
    <t>B6. Bạn thấy một mã QR thanh toán được dán ở quầy của một quán quen gần trường. 
Khi bạn quét, tên người nhận hiện ra khác với tên quán mà bạn thường thấy trước đây. Nhân viên thì đang bận, phía sau lại có người đang chờ. Bạn cần phải nhanh lên.
Bạn nên làm gì?</t>
  </si>
  <si>
    <t>B7. Bạn nhận được email mời phỏng vấn thực tập. Email ghi đúng vị trí bạn từng ứng tuyển cũng như là công việc bạn thích. Họ gửi cho bạn file mô tả công việc chi tiết được đính kèm dưới dạng tệp cài đặt, không phải tài liệu PDF/DOC và giải thích rằng đây là ứng dụng riêng của công ty cần các bạn cài đặt trước.
Bạn nên làm gì?</t>
  </si>
  <si>
    <t>B8. Bạn muốn đăng ký một buổi tham quan phòng lab của khoa. 
Bạn nhìn thấy một thông báo được đăng trên kênh mà sinh viên thường dùng để theo dõi hoạt động của khoa. Bài đăng có thời gian, địa điểm tập trung, nội dung buổi tham quan và tên người phụ trách, trông khá là đầy đủ.
Phiếu đăng ký yêu cầu bạn cung cấp họ tên, lớp, mã số sinh viên, email liên hệ và khung giờ muốn tham gia để sắp xếp số lượng người.
Bạn nên làm gì?</t>
  </si>
  <si>
    <t>B9. Bạn đang lên nhóm lớp xem thông tin thì thấy có tin nhắn mới thì một người bạn. Họ gửi lên một đường dẫn để chia sẻ một tài liệu mới cho các bạn trong lớp. 
Khi bạn bấm vào, bạn trông thấy một trang web mới với rất nhiều tài liệu hay.
Bạn bấm vào xem thì trang web yêu cầu bạn đăng nhập để có được trải nghiệm tốt hơn.
Bạn nên làm gì?</t>
  </si>
  <si>
    <t xml:space="preserve">B10. Bạn nhận được tin nhắn từ một người bạn: “Vote giúp mình bài dự thi này với, đăng nhập vào làm cái là xong.” 
Người đó gửi cho bạn một đường dẫn yêu cầu đăng nhập tài khoản mạng xã hội. 
Và khi bạn hỏi thêm thì người đó chỉ trả lời nhanh giúp mình đi, bạn ấy còn phải đi nhờ thêm nhiều người khác.
Bạn nên làm gì?  </t>
  </si>
  <si>
    <t xml:space="preserve">B11. Bạn thấy một chương trình nhận voucher sinh viên yêu cầu đăng nhập tài khoản mạng xã hội và chia sẻ cho vài người bạn để mở khóa mã nhận thưởng. 
Bạn không nhớ mình từng đăng ký chương trình này, nhưng phần thưởng trông cũng khá hấp dẫn.
Bạn nên làm gì?  </t>
  </si>
  <si>
    <t>B12. Bạn đang chơi game online với bạn bè thì nhận được tin nhắn về sự kiện tặng vật phẩm miễn phí cho riêng cho sinh viên. Trang yêu cầu đăng nhập tài khoản game và liên kết email cũng như xác nhận danh tính sinh viên để nhận quà. 
Giao diện trang nhìn rất giống sự kiện của game đang chơi, trông khá đẹp.
Bạn nên làm gì?</t>
  </si>
  <si>
    <t>G1. Giao diện trong game rõ ràng, dễ hiểu và các thao tác trong game dễ thực hiện.</t>
  </si>
  <si>
    <t>G2. Trong phần lớn lộ trình chơi game, bạn hiểu rằng mình cần làm gì tiếp theo để đi tiếp lộ trình.</t>
  </si>
  <si>
    <t>G3. Game chạy rất ổn định, không có lỗi làm gián đoạn trải nghiệm của bạn trong lúc chơi.</t>
  </si>
  <si>
    <t>G4. Cốt truyện và các tình huống trong game rất thú vị đủ để bạn thích và muốn tiếp tục theo dõi.</t>
  </si>
  <si>
    <t>G5. Game tạo ra được cảm giác thử thách và sự hứng thú cho bạn.</t>
  </si>
  <si>
    <t>G6. Nhìn chung, bạn hài lòng với trải nghiệm chơi game.</t>
  </si>
  <si>
    <t>G7. Game giúp bạn hiểu biết thêm về các hình thức lừa đảo với học sinh, sinh viên hiện nay</t>
  </si>
  <si>
    <t>G8. Sau khi chơi, bạn thấy mình có thể áp dụng bài học trong game vào tình huống ngoài đời.</t>
  </si>
  <si>
    <t>G9. Bạn cảm thấy phản hồi cuối cùng khi hoàn thành màn chơi phù hợp, hữu ích với bản thân</t>
  </si>
  <si>
    <t>G10. Bạn có sẵn sàng đề xuất game cho người khác</t>
  </si>
  <si>
    <t>G11. Bạn nghĩ game cần cải thiện thêm những gì ngoài những thứ đã đề cập ở trên kia?</t>
  </si>
  <si>
    <t>Truớc khi thực hiện khảo sát, bạn đã có trải nghiệm và hoàn thành game chưa?</t>
  </si>
  <si>
    <t>Nam</t>
  </si>
  <si>
    <t>Nhóm ngành kĩ thuật</t>
  </si>
  <si>
    <t>Hỏi rõ đơn vị tuyển, người phụ trách, quy trình tham gia và không đóng phí khi thông tin chưa rõ ràng.</t>
  </si>
  <si>
    <t>Tìm kiếm xác nhận lại các nguồn thông tin chính thống, hỏi thêm cả bạn bè và những người liên quan để xác nhận sự việc. Rồi mới hành động.</t>
  </si>
  <si>
    <t>Đổi mật khẩu, đăng xuất phiên lạ nếu có, bật bảo mật bổ sung và báo cho kênh hỗ trợ liên quan.</t>
  </si>
  <si>
    <t>Hẹn xem phòng, xác minh người cho thuê và thông tin phòng trước khi chuyển cọc.</t>
  </si>
  <si>
    <t>Không đọc mã; tự mở ứng dụng hoặc liên hệ kênh hỗ trợ chính thức để kiểm tra tài khoản.</t>
  </si>
  <si>
    <t>Hỏi lại nhân viên hoặc kiểm tra lại một lần nữa tên người nhận rồi đối chiếu trước khi xác nhận chuyển tiền.</t>
  </si>
  <si>
    <t>Kiểm tra lại qua kênh tuyển dụng chính thức hoặc yêu cầu công ty thực tập gửi mô tả ở định dạng tài liệu thông thường.</t>
  </si>
  <si>
    <t>Điền thông tin cần thiết nếu muốn tham gia, vì các mục được hỏi phù hợp với việc tổ chức buổi tham quan.</t>
  </si>
  <si>
    <t>Tạm chưa đăng nhập; vào khu vực học tập của môn học hoặc hỏi giảng viên trước.</t>
  </si>
  <si>
    <t>Xác nhận lại qua cuộc gọi hoặc một kênh khác trước khi đăng nhập.</t>
  </si>
  <si>
    <t>Không đăng nhập qua đường dẫn đó; nếu quan tâm thì kiểm tra từ trang/kênh chính thức của chương trình.</t>
  </si>
  <si>
    <t>Kiểm tra trong ứng dụng/trang chính thức của game trước khi đăng nhập hoặc liên kết tài khoản.</t>
  </si>
  <si>
    <t>Rồi</t>
  </si>
  <si>
    <t>dungnguyendang1424@gmail.com</t>
  </si>
  <si>
    <t>Nhóm ngành liên quan công nghệ thông tin hay khoa học, kĩ thuật máy tính</t>
  </si>
  <si>
    <t>Mở đường dẫn xem giao diện có giống trang bình chọn không, nếu là trang bình chọn thì đăng nhập.</t>
  </si>
  <si>
    <t>Nữ</t>
  </si>
  <si>
    <t>Chuyển luôn vì mã QR được dán ngay tại quầy.</t>
  </si>
  <si>
    <t>về cốt truyện, game hơi dễ đoán với có nhiều bước hơi rườm rà 1 tí. cách dẫn truyện cũng chưa thu hút lắm. tổng thể thì game chơi được, ổn có phần cách dẫn truyện có thể cải thiện thêm để thu hút người chơi.</t>
  </si>
  <si>
    <t>trileletri39@gmail.com</t>
  </si>
  <si>
    <t>Đọc mã vì người gọi nói đang giúp khóa giao dịch bất thường lại kia mà.</t>
  </si>
  <si>
    <t>Không đăng ký, vì chỉ cần có biểu mẫu online hỏi thông tin cá nhân thì nên tránh.</t>
  </si>
  <si>
    <t>Đăng nhập để tải, vì trang ghi đúng tên môn học và bạn đang cần tài liệu.</t>
  </si>
  <si>
    <t>Đăng nhập bằng tài khoản phụ trước để thử.</t>
  </si>
  <si>
    <t>Không có</t>
  </si>
  <si>
    <t>Nhóm ngành kinh tế, kinh doanh, bán hàng</t>
  </si>
  <si>
    <t xml:space="preserve">Game cần ra phần tiếp theo </t>
  </si>
  <si>
    <t xml:space="preserve">1. Đồ Họa
2. Âm Thanh
3. Nội dung
</t>
  </si>
  <si>
    <t>Học sinh</t>
  </si>
  <si>
    <t>-1.nên thêm 1 số ester egg cho game để người chơi khám phá thay vì bám sát cốt truyện, ví dụ như mã qr lúc đi nhận phòng, nếu sử dụng thiết bị ngoài đời để quét thì hiện thông báo bạn đã bị hack đại loại v
-2.nên có checkpoint cốt truyện trong trường hợp thiết bị dừng game đột ngột thì lúc vô game không phải chơi lại từ đầu
-3 6
-4. Trong trường hợp game bị glich nên có hệ thống tự dịch chuyển nhân vật(tôi cũng k bt là có làm đc ko)</t>
  </si>
  <si>
    <t>:))))))</t>
  </si>
  <si>
    <t>game full screen đôi lúc đang chơi bị nhấp nháy, còn lại thì perfect :333</t>
  </si>
  <si>
    <t>Yêu cầu có lồng tiếng</t>
  </si>
  <si>
    <t>Cần thêm nhạc âm thanh cũng như là cải thiện thêm về chất lượng hình ảnh, ngoài ra còn có thể thêm một số cảnh (ngồi animation) và có thể thiết kế bố cục sao cho người chơi có thể dễ dàng hiểu rõ được bố cục của trường hoặc là có thể cố gắng liên kết các phần lại cho thành một thể thống nhất để thêm phần hấp dẫn.</t>
  </si>
  <si>
    <t>giáo dục</t>
  </si>
  <si>
    <t>Đăng nhập vote giúp vì đây là việc nhỏ thôi. Hơn nữa, người gửi là bạn mình kia mà.</t>
  </si>
  <si>
    <t>- Cần cải thiện UI, người chơi cần biết phải bấm nút nào để tương tác, độ nhạy khi thao tác bằng chuột (800DPI) quá chậm và lúc quay hơi chong mặt. 
- Câu thoại hơi dài và không giống văn phong giao tiếp bình thường lắm.
- Nên có 1 khung nhỏ phía trên để chỉ dẫn người chơi cần làm gì tiếp theo (có thể bắt chước Palworld)
- Nên cho phép người chơi thực hiện nhiều tình huống một lúc thay vì ép chỉ làm 1 hoạt động nào đó (nếu khả thi).</t>
  </si>
  <si>
    <t xml:space="preserve">Thất nghiệp </t>
  </si>
  <si>
    <t>Thêm nút chỉnh độ phần giải - Thêm 1 số dấu câu cần thiết - Sửa 1 số lỗi chớp tắt thanh Taskbar và màn hình nền khi chơi - Cần cải thiện thêm đồ họa - Phần cài đặt khá thiếu thốn 1 số công cụ, nên thêm cách nút như: Thoát Đăng Nhập, Chỉnh Âm Thanh và 1 số thứ khác - Thêm tên game ở trên phần đăng nhập - Thêm tính vật lý cho hợp lí hơn so với ngoài đời - Nên Làm phông chữ cho đẹp hơn nhưng vẫn có thể đọc được dễ ràng và Cỡ chỉnh lại cỡ chữ ở 1 số đoạn - Lựa chọn nên đê ở các ô riêng biệt - Game hiện tại đang không có âm thanh.
Đây là Đánh Giá của 1 người đã quen chơi Genshin impact và 1 số game tầm trung khác.</t>
  </si>
  <si>
    <t>donghabrvt0@gmail.com</t>
  </si>
  <si>
    <t>21t</t>
  </si>
  <si>
    <t>matruongvu1@gmail.com</t>
  </si>
  <si>
    <t>Chưa</t>
  </si>
  <si>
    <t>phat.nguyen11122006@hcmut.edu.vn</t>
  </si>
  <si>
    <t>hnhu89017@gmail.com</t>
  </si>
  <si>
    <t>Nhóm ngành sư phạm</t>
  </si>
  <si>
    <t>duongle150104@gmail.com</t>
  </si>
  <si>
    <t>linhphuongrosa@gmail.com</t>
  </si>
  <si>
    <t>khiemngo2512@gmail.com</t>
  </si>
  <si>
    <t>bnqminh22@clc.fitus.edu.vn</t>
  </si>
  <si>
    <t>Nhờ bạn gửi link tải hộ rồi nhận lại file từ bạn đó để mình khỏi đăng nhập.</t>
  </si>
  <si>
    <t>anhthu12040204@gmail.com</t>
  </si>
  <si>
    <t>mytien1278@gmail.com</t>
  </si>
  <si>
    <t>tai.phamphu@hcmut.edu.vn</t>
  </si>
  <si>
    <t>nltt2709@gmail.com</t>
  </si>
  <si>
    <t>Chia sẻ bài viết trước để nhiều người cùng biết, còn chuyển tiền hay không tính sau.</t>
  </si>
  <si>
    <t>tranuyqhc1@gmail.com</t>
  </si>
  <si>
    <t>khoa.truonganh@hcmut.edu.vn</t>
  </si>
  <si>
    <t>chuquynh2004@gmail.com</t>
  </si>
  <si>
    <t>Hanatang4904@gmail.com</t>
  </si>
  <si>
    <t>Đăng nhập lại nhiều lần để kiểm tra tài khoản còn hoạt động không.</t>
  </si>
  <si>
    <t>Gửi ảnh chụp tin nhắn mã xác nhận cho người gọi để họ kiểm tra giúp.</t>
  </si>
  <si>
    <t>nguyentuankiet03082004@gmail.com</t>
  </si>
  <si>
    <t>UID</t>
  </si>
  <si>
    <t>Player email</t>
  </si>
  <si>
    <t>Email</t>
  </si>
  <si>
    <t>B_Trước</t>
  </si>
  <si>
    <t>B_Sau</t>
  </si>
  <si>
    <t>Khoảng điểm</t>
  </si>
  <si>
    <t>Trước khi chơi</t>
  </si>
  <si>
    <t>Sau khi chơi</t>
  </si>
  <si>
    <t>Chưa chơi game</t>
  </si>
  <si>
    <t>Đã chơi game</t>
  </si>
  <si>
    <t>Mức đánh giá</t>
  </si>
  <si>
    <t>Tiêu chí</t>
  </si>
  <si>
    <t>Mức 1</t>
  </si>
  <si>
    <t>Mức 2</t>
  </si>
  <si>
    <t>Mức 3</t>
  </si>
  <si>
    <t>Mức 4</t>
  </si>
  <si>
    <t>Mức 5</t>
  </si>
  <si>
    <t>Phcnngo3Fddhr78h6wLbEE8qeW22</t>
  </si>
  <si>
    <t>player3@gmail.com</t>
  </si>
  <si>
    <t>0–59</t>
  </si>
  <si>
    <t>G1</t>
  </si>
  <si>
    <t>EOOUznHcdYM3B5Eu7H7303gt3Nl1</t>
  </si>
  <si>
    <t>player5@gmail.com</t>
  </si>
  <si>
    <t>60–89</t>
  </si>
  <si>
    <t>G2</t>
  </si>
  <si>
    <t>cx0jXpRTPFb30Gsm6QOvt3Hh6KJ3</t>
  </si>
  <si>
    <t>player4@gmail.com</t>
  </si>
  <si>
    <t>90–109</t>
  </si>
  <si>
    <t>G3</t>
  </si>
  <si>
    <t>dhiHXvJmYgaNYeeE3QVoo77dMwf1</t>
  </si>
  <si>
    <t>player6@gmail.com</t>
  </si>
  <si>
    <t>110–120</t>
  </si>
  <si>
    <t>G4</t>
  </si>
  <si>
    <t>aUwWXivyj0VBPP4fmL3STw6ydC83</t>
  </si>
  <si>
    <t>player7@gmail.com</t>
  </si>
  <si>
    <t>G5</t>
  </si>
  <si>
    <t>vroJdrAh69TH16ZpHxlCqeIplRw1</t>
  </si>
  <si>
    <t>player8@gmail.com</t>
  </si>
  <si>
    <t>Behaviour trước sau</t>
  </si>
  <si>
    <t>Behaviour 2 nhóm</t>
  </si>
  <si>
    <t>G6</t>
  </si>
  <si>
    <t>40f1uksF5kYFvJ5WxoYBzlBCfBE2</t>
  </si>
  <si>
    <t>player10@gmail.com</t>
  </si>
  <si>
    <t>G7</t>
  </si>
  <si>
    <t>vYmu30ZTOHbjiC4mPuaw73q6pZf1</t>
  </si>
  <si>
    <t>player9@gmail.com</t>
  </si>
  <si>
    <t>G8</t>
  </si>
  <si>
    <t>VYZqyGu79USyXvpxpxWmk0lxnAE3</t>
  </si>
  <si>
    <t>player11@gmail.com</t>
  </si>
  <si>
    <t>G9</t>
  </si>
  <si>
    <t>1gJPPFrwADbPzDMNxwIhKHuCPWv1</t>
  </si>
  <si>
    <t>player12@gmail.com</t>
  </si>
  <si>
    <t>G10</t>
  </si>
  <si>
    <t>sjbR7vKNWOfZzrhOxDyyO257XKZ2</t>
  </si>
  <si>
    <t>player13@gmail.com</t>
  </si>
  <si>
    <t>B 2 nhóm</t>
  </si>
  <si>
    <t>G</t>
  </si>
  <si>
    <t>B trước sau</t>
  </si>
  <si>
    <t>CHUẢN</t>
  </si>
  <si>
    <t>K trước sau</t>
  </si>
  <si>
    <t>A trước sau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</si>
</sst>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20&quot;"/>
  </numFmts>
  <fonts count="8">
    <font>
      <sz val="10.0"/>
      <color rgb="FF000000"/>
      <name val="Arial"/>
      <scheme val="minor"/>
    </font>
    <font>
      <color theme="1"/>
      <name val="Roboto"/>
    </font>
    <font>
      <color rgb="FF434343"/>
      <name val="Roboto"/>
    </font>
    <font>
      <color theme="1"/>
      <name val="Arial"/>
    </font>
    <font>
      <b/>
      <color theme="1"/>
      <name val="Arial"/>
      <scheme val="minor"/>
    </font>
    <font>
      <color theme="1"/>
      <name val="Arial"/>
      <scheme val="minor"/>
    </font>
    <font>
      <b/>
      <sz val="13.0"/>
      <color theme="1"/>
      <name val="Arial"/>
      <scheme val="minor"/>
    </font>
    <font>
      <b/>
      <sz val="18.0"/>
      <color theme="1"/>
      <name val="Arial"/>
      <scheme val="minor"/>
    </font>
  </fonts>
  <fills count="9">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FFFF00"/>
        <bgColor rgb="FFFFFF00"/>
      </patternFill>
    </fill>
    <fill>
      <patternFill patternType="solid">
        <fgColor theme="9"/>
        <bgColor theme="9"/>
      </patternFill>
    </fill>
    <fill>
      <patternFill patternType="solid">
        <fgColor rgb="FFB6D7A8"/>
        <bgColor rgb="FFB6D7A8"/>
      </patternFill>
    </fill>
    <fill>
      <patternFill patternType="solid">
        <fgColor rgb="FFD9EAD3"/>
        <bgColor rgb="FFD9EAD3"/>
      </patternFill>
    </fill>
    <fill>
      <patternFill patternType="solid">
        <fgColor rgb="FF00FF00"/>
        <bgColor rgb="FF00FF00"/>
      </patternFill>
    </fill>
  </fills>
  <borders count="14">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164" xfId="0" applyAlignment="1" applyBorder="1" applyFill="1" applyFont="1" applyNumberFormat="1">
      <alignment horizontal="right" shrinkToFit="0" vertical="center" wrapText="0"/>
    </xf>
    <xf borderId="2" fillId="2" fontId="2" numFmtId="0" xfId="0" applyAlignment="1" applyBorder="1" applyFont="1">
      <alignment shrinkToFit="0" vertical="center" wrapText="0"/>
    </xf>
    <xf borderId="2" fillId="2" fontId="2" numFmtId="0" xfId="0" applyAlignment="1" applyBorder="1" applyFont="1">
      <alignment horizontal="right" shrinkToFit="0" vertical="center" wrapText="0"/>
    </xf>
    <xf borderId="3" fillId="2" fontId="2" numFmtId="165" xfId="0" applyAlignment="1" applyBorder="1" applyFont="1" applyNumberFormat="1">
      <alignment horizontal="right" shrinkToFit="0" vertical="center" wrapText="0"/>
    </xf>
    <xf borderId="4" fillId="3" fontId="2" numFmtId="164" xfId="0" applyAlignment="1" applyBorder="1" applyFill="1" applyFont="1" applyNumberFormat="1">
      <alignment horizontal="right" shrinkToFit="0" vertical="center" wrapText="0"/>
    </xf>
    <xf borderId="5" fillId="3" fontId="2" numFmtId="0" xfId="0" applyAlignment="1" applyBorder="1" applyFont="1">
      <alignment shrinkToFit="0" vertical="center" wrapText="0"/>
    </xf>
    <xf borderId="5" fillId="3" fontId="2" numFmtId="0" xfId="0" applyAlignment="1" applyBorder="1" applyFont="1">
      <alignment horizontal="right" shrinkToFit="0" vertical="center" wrapText="0"/>
    </xf>
    <xf borderId="6" fillId="3" fontId="2" numFmtId="165" xfId="0" applyAlignment="1" applyBorder="1" applyFont="1" applyNumberFormat="1">
      <alignment horizontal="right" shrinkToFit="0" vertical="center" wrapText="0"/>
    </xf>
    <xf borderId="5" fillId="4" fontId="2" numFmtId="0" xfId="0" applyAlignment="1" applyBorder="1" applyFill="1" applyFont="1">
      <alignment shrinkToFit="0" vertical="center" wrapText="0"/>
    </xf>
    <xf borderId="6" fillId="4" fontId="2" numFmtId="165" xfId="0" applyAlignment="1" applyBorder="1" applyFont="1" applyNumberFormat="1">
      <alignment horizontal="right" shrinkToFit="0" vertical="center" wrapText="0"/>
    </xf>
    <xf borderId="7" fillId="3" fontId="2" numFmtId="164" xfId="0" applyAlignment="1" applyBorder="1" applyFont="1" applyNumberFormat="1">
      <alignment horizontal="right" shrinkToFit="0" vertical="center" wrapText="0"/>
    </xf>
    <xf borderId="8" fillId="3" fontId="2" numFmtId="0" xfId="0" applyAlignment="1" applyBorder="1" applyFont="1">
      <alignment shrinkToFit="0" vertical="center" wrapText="0"/>
    </xf>
    <xf borderId="8" fillId="3" fontId="2" numFmtId="0" xfId="0" applyAlignment="1" applyBorder="1" applyFont="1">
      <alignment horizontal="right" shrinkToFit="0" vertical="center" wrapText="0"/>
    </xf>
    <xf borderId="9" fillId="3" fontId="2" numFmtId="165" xfId="0" applyAlignment="1" applyBorder="1" applyFont="1" applyNumberFormat="1">
      <alignment horizontal="right" shrinkToFit="0" vertical="center" wrapText="0"/>
    </xf>
    <xf borderId="5" fillId="3" fontId="2" numFmtId="165" xfId="0" applyAlignment="1" applyBorder="1" applyFont="1" applyNumberFormat="1">
      <alignment horizontal="right" shrinkToFit="0" vertical="center" wrapText="0"/>
    </xf>
    <xf borderId="5" fillId="3" fontId="3" numFmtId="0" xfId="0" applyAlignment="1" applyBorder="1" applyFont="1">
      <alignment shrinkToFit="0" vertical="center" wrapText="0"/>
    </xf>
    <xf borderId="6" fillId="3" fontId="2" numFmtId="0" xfId="0" applyAlignment="1" applyBorder="1" applyFont="1">
      <alignment shrinkToFit="0" vertical="center" wrapText="0"/>
    </xf>
    <xf borderId="2" fillId="2" fontId="2" numFmtId="165" xfId="0" applyAlignment="1" applyBorder="1" applyFont="1" applyNumberFormat="1">
      <alignment horizontal="right" shrinkToFit="0" vertical="center" wrapText="0"/>
    </xf>
    <xf borderId="2" fillId="2" fontId="3" numFmtId="0" xfId="0" applyAlignment="1" applyBorder="1" applyFont="1">
      <alignment shrinkToFit="0" vertical="center" wrapText="0"/>
    </xf>
    <xf borderId="3" fillId="2" fontId="2" numFmtId="0" xfId="0" applyAlignment="1" applyBorder="1" applyFont="1">
      <alignment shrinkToFit="0" vertical="center" wrapText="0"/>
    </xf>
    <xf borderId="10" fillId="4" fontId="2" numFmtId="0" xfId="0" applyAlignment="1" applyBorder="1" applyFont="1">
      <alignment shrinkToFit="0" vertical="center" wrapText="0"/>
    </xf>
    <xf borderId="10" fillId="4" fontId="2" numFmtId="165" xfId="0" applyAlignment="1" applyBorder="1" applyFont="1" applyNumberFormat="1">
      <alignment horizontal="right" shrinkToFit="0" vertical="center" wrapText="0"/>
    </xf>
    <xf borderId="4" fillId="2" fontId="2" numFmtId="164" xfId="0" applyAlignment="1" applyBorder="1" applyFont="1" applyNumberFormat="1">
      <alignment horizontal="right" shrinkToFit="0" vertical="center" wrapText="0"/>
    </xf>
    <xf borderId="5" fillId="2" fontId="2" numFmtId="0" xfId="0" applyAlignment="1" applyBorder="1" applyFont="1">
      <alignment shrinkToFit="0" vertical="center" wrapText="0"/>
    </xf>
    <xf borderId="5" fillId="2" fontId="2" numFmtId="0" xfId="0" applyAlignment="1" applyBorder="1" applyFont="1">
      <alignment horizontal="right" shrinkToFit="0" vertical="center" wrapText="0"/>
    </xf>
    <xf borderId="5" fillId="2" fontId="2" numFmtId="165" xfId="0" applyAlignment="1" applyBorder="1" applyFont="1" applyNumberFormat="1">
      <alignment horizontal="right" shrinkToFit="0" vertical="center" wrapText="0"/>
    </xf>
    <xf borderId="5" fillId="2" fontId="3" numFmtId="0" xfId="0" applyAlignment="1" applyBorder="1" applyFont="1">
      <alignment shrinkToFit="0" vertical="center" wrapText="0"/>
    </xf>
    <xf borderId="6" fillId="2" fontId="2" numFmtId="0" xfId="0" applyAlignment="1" applyBorder="1" applyFont="1">
      <alignment shrinkToFit="0" vertical="center" wrapText="0"/>
    </xf>
    <xf borderId="1" fillId="3" fontId="2" numFmtId="164" xfId="0" applyAlignment="1" applyBorder="1" applyFont="1" applyNumberFormat="1">
      <alignment horizontal="right" shrinkToFit="0" vertical="center" wrapText="0"/>
    </xf>
    <xf borderId="2" fillId="3" fontId="2" numFmtId="0" xfId="0" applyAlignment="1" applyBorder="1" applyFont="1">
      <alignment shrinkToFit="0" vertical="center" wrapText="0"/>
    </xf>
    <xf borderId="2" fillId="3" fontId="2" numFmtId="0" xfId="0" applyAlignment="1" applyBorder="1" applyFont="1">
      <alignment horizontal="right" shrinkToFit="0" vertical="center" wrapText="0"/>
    </xf>
    <xf borderId="2" fillId="3" fontId="2" numFmtId="165" xfId="0" applyAlignment="1" applyBorder="1" applyFont="1" applyNumberFormat="1">
      <alignment horizontal="right" shrinkToFit="0" vertical="center" wrapText="0"/>
    </xf>
    <xf borderId="2" fillId="3" fontId="3" numFmtId="0" xfId="0" applyAlignment="1" applyBorder="1" applyFont="1">
      <alignment shrinkToFit="0" vertical="center" wrapText="0"/>
    </xf>
    <xf borderId="3" fillId="3" fontId="2" numFmtId="0" xfId="0" applyAlignment="1" applyBorder="1" applyFont="1">
      <alignment shrinkToFit="0" vertical="center" wrapText="0"/>
    </xf>
    <xf borderId="11" fillId="3" fontId="2" numFmtId="164" xfId="0" applyAlignment="1" applyBorder="1" applyFont="1" applyNumberFormat="1">
      <alignment horizontal="right" shrinkToFit="0" vertical="center" wrapText="0"/>
    </xf>
    <xf borderId="10" fillId="3" fontId="2" numFmtId="0" xfId="0" applyAlignment="1" applyBorder="1" applyFont="1">
      <alignment shrinkToFit="0" vertical="center" wrapText="0"/>
    </xf>
    <xf borderId="10" fillId="3" fontId="2" numFmtId="0" xfId="0" applyAlignment="1" applyBorder="1" applyFont="1">
      <alignment horizontal="right" shrinkToFit="0" vertical="center" wrapText="0"/>
    </xf>
    <xf borderId="10" fillId="3" fontId="2" numFmtId="165" xfId="0" applyAlignment="1" applyBorder="1" applyFont="1" applyNumberFormat="1">
      <alignment horizontal="right" shrinkToFit="0" vertical="center" wrapText="0"/>
    </xf>
    <xf borderId="10" fillId="3" fontId="3" numFmtId="0" xfId="0" applyAlignment="1" applyBorder="1" applyFont="1">
      <alignment shrinkToFit="0" vertical="center" wrapText="0"/>
    </xf>
    <xf borderId="12" fillId="3" fontId="2" numFmtId="0" xfId="0" applyAlignment="1" applyBorder="1" applyFont="1">
      <alignment shrinkToFit="0" vertical="center" wrapText="0"/>
    </xf>
    <xf borderId="13" fillId="5" fontId="4" numFmtId="0" xfId="0" applyAlignment="1" applyBorder="1" applyFill="1" applyFont="1">
      <alignment readingOrder="0"/>
    </xf>
    <xf borderId="13" fillId="6" fontId="5" numFmtId="0" xfId="0" applyAlignment="1" applyBorder="1" applyFill="1" applyFont="1">
      <alignment readingOrder="0"/>
    </xf>
    <xf borderId="13" fillId="0" fontId="5" numFmtId="0" xfId="0" applyAlignment="1" applyBorder="1" applyFont="1">
      <alignment readingOrder="0"/>
    </xf>
    <xf borderId="13" fillId="7" fontId="5" numFmtId="0" xfId="0" applyAlignment="1" applyBorder="1" applyFill="1" applyFont="1">
      <alignment readingOrder="0"/>
    </xf>
    <xf borderId="0" fillId="0" fontId="5" numFmtId="0" xfId="0" applyAlignment="1" applyFont="1">
      <alignment horizontal="right" readingOrder="0"/>
    </xf>
    <xf borderId="13" fillId="0" fontId="5" numFmtId="0" xfId="0" applyBorder="1" applyFont="1"/>
    <xf borderId="13" fillId="6" fontId="5" numFmtId="0" xfId="0" applyBorder="1" applyFont="1"/>
    <xf borderId="13" fillId="7" fontId="5" numFmtId="0" xfId="0" applyBorder="1" applyFont="1"/>
    <xf borderId="13" fillId="4" fontId="5" numFmtId="0" xfId="0" applyBorder="1" applyFont="1"/>
    <xf borderId="0" fillId="0" fontId="6" numFmtId="0" xfId="0" applyAlignment="1" applyFont="1">
      <alignment readingOrder="0"/>
    </xf>
    <xf borderId="0" fillId="0" fontId="5" numFmtId="0" xfId="0" applyFont="1"/>
    <xf borderId="0" fillId="0" fontId="7" numFmtId="0" xfId="0" applyAlignment="1" applyFont="1">
      <alignment readingOrder="0"/>
    </xf>
    <xf borderId="0" fillId="0" fontId="5" numFmtId="0" xfId="0" applyAlignment="1" applyFont="1">
      <alignment readingOrder="0"/>
    </xf>
    <xf borderId="0" fillId="8" fontId="6" numFmtId="0" xfId="0" applyAlignment="1" applyFill="1" applyFont="1">
      <alignment horizontal="center" readingOrder="0"/>
    </xf>
    <xf borderId="0" fillId="0" fontId="4"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1-style">
      <tableStyleElement dxfId="1" type="headerRow"/>
      <tableStyleElement dxfId="2" type="firstRowStripe"/>
      <tableStyleElement dxfId="3" type="secondRowStripe"/>
      <tableStyleElement dxfId="4" size="0" type="wholeTable"/>
    </tableStyle>
    <tableStyle count="4" pivot="0" name="Form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'Phổ điểm'!$H$1</c:f>
            </c:strRef>
          </c:tx>
          <c:spPr>
            <a:solidFill>
              <a:schemeClr val="accent1"/>
            </a:solidFill>
            <a:ln cmpd="sng">
              <a:solidFill>
                <a:srgbClr val="000000"/>
              </a:solidFill>
            </a:ln>
          </c:spPr>
          <c:cat>
            <c:strRef>
              <c:f>'Phổ điểm'!$G$2:$G$5</c:f>
            </c:strRef>
          </c:cat>
          <c:val>
            <c:numRef>
              <c:f>'Phổ điểm'!$H$2:$H$5</c:f>
              <c:numCache/>
            </c:numRef>
          </c:val>
        </c:ser>
        <c:ser>
          <c:idx val="1"/>
          <c:order val="1"/>
          <c:tx>
            <c:strRef>
              <c:f>'Phổ điểm'!$I$1</c:f>
            </c:strRef>
          </c:tx>
          <c:spPr>
            <a:solidFill>
              <a:schemeClr val="accent2"/>
            </a:solidFill>
            <a:ln cmpd="sng">
              <a:solidFill>
                <a:srgbClr val="000000"/>
              </a:solidFill>
            </a:ln>
          </c:spPr>
          <c:cat>
            <c:strRef>
              <c:f>'Phổ điểm'!$G$2:$G$5</c:f>
            </c:strRef>
          </c:cat>
          <c:val>
            <c:numRef>
              <c:f>'Phổ điểm'!$I$2:$I$5</c:f>
              <c:numCache/>
            </c:numRef>
          </c:val>
        </c:ser>
        <c:axId val="1097973876"/>
        <c:axId val="797078436"/>
      </c:barChart>
      <c:catAx>
        <c:axId val="1097973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Khoảng điểm</a:t>
                </a:r>
              </a:p>
            </c:rich>
          </c:tx>
          <c:overlay val="0"/>
        </c:title>
        <c:numFmt formatCode="General" sourceLinked="1"/>
        <c:majorTickMark val="none"/>
        <c:minorTickMark val="none"/>
        <c:spPr/>
        <c:txPr>
          <a:bodyPr/>
          <a:lstStyle/>
          <a:p>
            <a:pPr lvl="0">
              <a:defRPr b="0">
                <a:solidFill>
                  <a:srgbClr val="000000"/>
                </a:solidFill>
                <a:latin typeface="+mn-lt"/>
              </a:defRPr>
            </a:pPr>
          </a:p>
        </c:txPr>
        <c:crossAx val="797078436"/>
      </c:catAx>
      <c:valAx>
        <c:axId val="797078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79738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'Phổ điểm'!$P$1</c:f>
            </c:strRef>
          </c:tx>
          <c:spPr>
            <a:solidFill>
              <a:schemeClr val="accent1"/>
            </a:solidFill>
            <a:ln cmpd="sng">
              <a:solidFill>
                <a:srgbClr val="000000"/>
              </a:solidFill>
            </a:ln>
          </c:spPr>
          <c:cat>
            <c:strRef>
              <c:f>'Phổ điểm'!$O$2:$O$5</c:f>
            </c:strRef>
          </c:cat>
          <c:val>
            <c:numRef>
              <c:f>'Phổ điểm'!$P$2:$P$5</c:f>
              <c:numCache/>
            </c:numRef>
          </c:val>
        </c:ser>
        <c:ser>
          <c:idx val="1"/>
          <c:order val="1"/>
          <c:tx>
            <c:strRef>
              <c:f>'Phổ điểm'!$Q$1</c:f>
            </c:strRef>
          </c:tx>
          <c:spPr>
            <a:solidFill>
              <a:schemeClr val="accent2"/>
            </a:solidFill>
            <a:ln cmpd="sng">
              <a:solidFill>
                <a:srgbClr val="000000"/>
              </a:solidFill>
            </a:ln>
          </c:spPr>
          <c:cat>
            <c:strRef>
              <c:f>'Phổ điểm'!$O$2:$O$5</c:f>
            </c:strRef>
          </c:cat>
          <c:val>
            <c:numRef>
              <c:f>'Phổ điểm'!$Q$2:$Q$5</c:f>
              <c:numCache/>
            </c:numRef>
          </c:val>
        </c:ser>
        <c:axId val="1058662060"/>
        <c:axId val="1039427834"/>
      </c:barChart>
      <c:catAx>
        <c:axId val="1058662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Khoảng điểm</a:t>
                </a:r>
              </a:p>
            </c:rich>
          </c:tx>
          <c:overlay val="0"/>
        </c:title>
        <c:numFmt formatCode="General" sourceLinked="1"/>
        <c:majorTickMark val="none"/>
        <c:minorTickMark val="none"/>
        <c:spPr/>
        <c:txPr>
          <a:bodyPr/>
          <a:lstStyle/>
          <a:p>
            <a:pPr lvl="0">
              <a:defRPr b="0">
                <a:solidFill>
                  <a:srgbClr val="000000"/>
                </a:solidFill>
                <a:latin typeface="+mn-lt"/>
              </a:defRPr>
            </a:pPr>
          </a:p>
        </c:txPr>
        <c:crossAx val="1039427834"/>
      </c:catAx>
      <c:valAx>
        <c:axId val="1039427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866206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'Phổ điểm'!$AB$1</c:f>
            </c:strRef>
          </c:tx>
          <c:spPr>
            <a:solidFill>
              <a:schemeClr val="accent1"/>
            </a:solidFill>
            <a:ln cmpd="sng">
              <a:solidFill>
                <a:srgbClr val="000000"/>
              </a:solidFill>
            </a:ln>
          </c:spPr>
          <c:cat>
            <c:strRef>
              <c:f>'Phổ điểm'!$AA$2:$AA$11</c:f>
            </c:strRef>
          </c:cat>
          <c:val>
            <c:numRef>
              <c:f>'Phổ điểm'!$AB$2:$AB$11</c:f>
              <c:numCache/>
            </c:numRef>
          </c:val>
        </c:ser>
        <c:ser>
          <c:idx val="1"/>
          <c:order val="1"/>
          <c:tx>
            <c:strRef>
              <c:f>'Phổ điểm'!$AC$1</c:f>
            </c:strRef>
          </c:tx>
          <c:spPr>
            <a:solidFill>
              <a:schemeClr val="accent2"/>
            </a:solidFill>
            <a:ln cmpd="sng">
              <a:solidFill>
                <a:srgbClr val="000000"/>
              </a:solidFill>
            </a:ln>
          </c:spPr>
          <c:cat>
            <c:strRef>
              <c:f>'Phổ điểm'!$AA$2:$AA$11</c:f>
            </c:strRef>
          </c:cat>
          <c:val>
            <c:numRef>
              <c:f>'Phổ điểm'!$AC$2:$AC$11</c:f>
              <c:numCache/>
            </c:numRef>
          </c:val>
        </c:ser>
        <c:ser>
          <c:idx val="2"/>
          <c:order val="2"/>
          <c:tx>
            <c:strRef>
              <c:f>'Phổ điểm'!$AD$1</c:f>
            </c:strRef>
          </c:tx>
          <c:spPr>
            <a:solidFill>
              <a:schemeClr val="accent3"/>
            </a:solidFill>
            <a:ln cmpd="sng">
              <a:solidFill>
                <a:srgbClr val="000000"/>
              </a:solidFill>
            </a:ln>
          </c:spPr>
          <c:cat>
            <c:strRef>
              <c:f>'Phổ điểm'!$AA$2:$AA$11</c:f>
            </c:strRef>
          </c:cat>
          <c:val>
            <c:numRef>
              <c:f>'Phổ điểm'!$AD$2:$AD$11</c:f>
              <c:numCache/>
            </c:numRef>
          </c:val>
        </c:ser>
        <c:ser>
          <c:idx val="3"/>
          <c:order val="3"/>
          <c:tx>
            <c:strRef>
              <c:f>'Phổ điểm'!$AE$1</c:f>
            </c:strRef>
          </c:tx>
          <c:spPr>
            <a:solidFill>
              <a:schemeClr val="accent4"/>
            </a:solidFill>
            <a:ln cmpd="sng">
              <a:solidFill>
                <a:srgbClr val="000000"/>
              </a:solidFill>
            </a:ln>
          </c:spPr>
          <c:cat>
            <c:strRef>
              <c:f>'Phổ điểm'!$AA$2:$AA$11</c:f>
            </c:strRef>
          </c:cat>
          <c:val>
            <c:numRef>
              <c:f>'Phổ điểm'!$AE$2:$AE$11</c:f>
              <c:numCache/>
            </c:numRef>
          </c:val>
        </c:ser>
        <c:ser>
          <c:idx val="4"/>
          <c:order val="4"/>
          <c:tx>
            <c:strRef>
              <c:f>'Phổ điểm'!$AF$1</c:f>
            </c:strRef>
          </c:tx>
          <c:spPr>
            <a:solidFill>
              <a:schemeClr val="accent5"/>
            </a:solidFill>
            <a:ln cmpd="sng">
              <a:solidFill>
                <a:srgbClr val="000000"/>
              </a:solidFill>
            </a:ln>
          </c:spPr>
          <c:cat>
            <c:strRef>
              <c:f>'Phổ điểm'!$AA$2:$AA$11</c:f>
            </c:strRef>
          </c:cat>
          <c:val>
            <c:numRef>
              <c:f>'Phổ điểm'!$AF$2:$AF$11</c:f>
              <c:numCache/>
            </c:numRef>
          </c:val>
        </c:ser>
        <c:overlap val="100"/>
        <c:axId val="190182100"/>
        <c:axId val="770230556"/>
      </c:barChart>
      <c:catAx>
        <c:axId val="1901821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Tiêu chí</a:t>
                </a:r>
              </a:p>
            </c:rich>
          </c:tx>
          <c:overlay val="0"/>
        </c:title>
        <c:numFmt formatCode="General" sourceLinked="1"/>
        <c:majorTickMark val="none"/>
        <c:minorTickMark val="none"/>
        <c:spPr/>
        <c:txPr>
          <a:bodyPr/>
          <a:lstStyle/>
          <a:p>
            <a:pPr lvl="0">
              <a:defRPr b="0">
                <a:solidFill>
                  <a:srgbClr val="000000"/>
                </a:solidFill>
                <a:latin typeface="+mn-lt"/>
              </a:defRPr>
            </a:pPr>
          </a:p>
        </c:txPr>
        <c:crossAx val="770230556"/>
      </c:catAx>
      <c:valAx>
        <c:axId val="7702305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182100"/>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'Phổ điểm'!$T$1</c:f>
            </c:strRef>
          </c:tx>
          <c:spPr>
            <a:solidFill>
              <a:schemeClr val="accent1"/>
            </a:solidFill>
            <a:ln cmpd="sng">
              <a:solidFill>
                <a:srgbClr val="000000"/>
              </a:solidFill>
            </a:ln>
          </c:spPr>
          <c:cat>
            <c:strRef>
              <c:f>'Phổ điểm'!$S$2:$S$6</c:f>
            </c:strRef>
          </c:cat>
          <c:val>
            <c:numRef>
              <c:f>'Phổ điểm'!$T$2:$T$6</c:f>
              <c:numCache/>
            </c:numRef>
          </c:val>
        </c:ser>
        <c:ser>
          <c:idx val="1"/>
          <c:order val="1"/>
          <c:tx>
            <c:strRef>
              <c:f>'Phổ điểm'!$U$1</c:f>
            </c:strRef>
          </c:tx>
          <c:spPr>
            <a:solidFill>
              <a:schemeClr val="accent2"/>
            </a:solidFill>
            <a:ln cmpd="sng">
              <a:solidFill>
                <a:srgbClr val="000000"/>
              </a:solidFill>
            </a:ln>
          </c:spPr>
          <c:cat>
            <c:strRef>
              <c:f>'Phổ điểm'!$S$2:$S$6</c:f>
            </c:strRef>
          </c:cat>
          <c:val>
            <c:numRef>
              <c:f>'Phổ điểm'!$U$2:$U$6</c:f>
              <c:numCache/>
            </c:numRef>
          </c:val>
        </c:ser>
        <c:axId val="4654635"/>
        <c:axId val="797403523"/>
      </c:barChart>
      <c:catAx>
        <c:axId val="46546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Mức đánh giá</a:t>
                </a:r>
              </a:p>
            </c:rich>
          </c:tx>
          <c:overlay val="0"/>
        </c:title>
        <c:numFmt formatCode="General" sourceLinked="1"/>
        <c:majorTickMark val="none"/>
        <c:minorTickMark val="none"/>
        <c:spPr/>
        <c:txPr>
          <a:bodyPr/>
          <a:lstStyle/>
          <a:p>
            <a:pPr lvl="0">
              <a:defRPr b="0">
                <a:solidFill>
                  <a:srgbClr val="000000"/>
                </a:solidFill>
                <a:latin typeface="+mn-lt"/>
              </a:defRPr>
            </a:pPr>
          </a:p>
        </c:txPr>
        <c:crossAx val="797403523"/>
      </c:catAx>
      <c:valAx>
        <c:axId val="797403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5463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'Phổ điểm'!$X$1</c:f>
            </c:strRef>
          </c:tx>
          <c:spPr>
            <a:solidFill>
              <a:schemeClr val="accent1"/>
            </a:solidFill>
            <a:ln cmpd="sng">
              <a:solidFill>
                <a:srgbClr val="000000"/>
              </a:solidFill>
            </a:ln>
          </c:spPr>
          <c:cat>
            <c:strRef>
              <c:f>'Phổ điểm'!$W$2:$W$6</c:f>
            </c:strRef>
          </c:cat>
          <c:val>
            <c:numRef>
              <c:f>'Phổ điểm'!$X$2:$X$6</c:f>
              <c:numCache/>
            </c:numRef>
          </c:val>
        </c:ser>
        <c:ser>
          <c:idx val="1"/>
          <c:order val="1"/>
          <c:tx>
            <c:strRef>
              <c:f>'Phổ điểm'!$Y$1</c:f>
            </c:strRef>
          </c:tx>
          <c:spPr>
            <a:solidFill>
              <a:schemeClr val="accent2"/>
            </a:solidFill>
            <a:ln cmpd="sng">
              <a:solidFill>
                <a:srgbClr val="000000"/>
              </a:solidFill>
            </a:ln>
          </c:spPr>
          <c:cat>
            <c:strRef>
              <c:f>'Phổ điểm'!$W$2:$W$6</c:f>
            </c:strRef>
          </c:cat>
          <c:val>
            <c:numRef>
              <c:f>'Phổ điểm'!$Y$2:$Y$6</c:f>
              <c:numCache/>
            </c:numRef>
          </c:val>
        </c:ser>
        <c:axId val="1305783799"/>
        <c:axId val="1044523638"/>
      </c:barChart>
      <c:catAx>
        <c:axId val="13057837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Mức đánh giá</a:t>
                </a:r>
              </a:p>
            </c:rich>
          </c:tx>
          <c:overlay val="0"/>
        </c:title>
        <c:numFmt formatCode="General" sourceLinked="1"/>
        <c:majorTickMark val="none"/>
        <c:minorTickMark val="none"/>
        <c:spPr/>
        <c:txPr>
          <a:bodyPr/>
          <a:lstStyle/>
          <a:p>
            <a:pPr lvl="0">
              <a:defRPr b="0">
                <a:solidFill>
                  <a:srgbClr val="000000"/>
                </a:solidFill>
                <a:latin typeface="+mn-lt"/>
              </a:defRPr>
            </a:pPr>
          </a:p>
        </c:txPr>
        <c:crossAx val="1044523638"/>
      </c:catAx>
      <c:valAx>
        <c:axId val="1044523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578379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504825</xdr:colOff>
      <xdr:row>35</xdr:row>
      <xdr:rowOff>171450</xdr:rowOff>
    </xdr:from>
    <xdr:ext cx="5715000" cy="353377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504825</xdr:colOff>
      <xdr:row>14</xdr:row>
      <xdr:rowOff>28575</xdr:rowOff>
    </xdr:from>
    <xdr:ext cx="5715000" cy="3533775"/>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85725</xdr:colOff>
      <xdr:row>14</xdr:row>
      <xdr:rowOff>123825</xdr:rowOff>
    </xdr:from>
    <xdr:ext cx="5715000" cy="3533775"/>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57150</xdr:colOff>
      <xdr:row>35</xdr:row>
      <xdr:rowOff>171450</xdr:rowOff>
    </xdr:from>
    <xdr:ext cx="5715000" cy="3533775"/>
    <xdr:graphicFrame>
      <xdr:nvGraphicFramePr>
        <xdr:cNvPr id="4"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20</xdr:col>
      <xdr:colOff>9525</xdr:colOff>
      <xdr:row>36</xdr:row>
      <xdr:rowOff>85725</xdr:rowOff>
    </xdr:from>
    <xdr:ext cx="5715000" cy="3533775"/>
    <xdr:graphicFrame>
      <xdr:nvGraphicFramePr>
        <xdr:cNvPr id="5" name="Chart 5" title="Biểu đồ"/>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W13" displayName="Bảng_1" name="Bảng_1" id="1">
  <tableColumns count="23">
    <tableColumn name="Timestamp" id="1"/>
    <tableColumn name="Email Address" id="2"/>
    <tableColumn name="K1. Bạn có biết rằng thông tin trên mạng khi nhận được cần được xem xét, kiểm tra kỹ hơn bình thường hay không?" id="3"/>
    <tableColumn name="K2. Bạn có hiểu tầm quan trọng của việc bảo vệ thông tin cá nhân khi sử dụng Internet không?" id="4"/>
    <tableColumn name="K3. Bạn có biết bản thân phải làm gì (chẳng hạn kiểm tra lại thông tin, đi hỏi,...) khi gặp một tình huống khiến bạn phân vân không?" id="5"/>
    <tableColumn name="K4. Bạn có nhận thấy được bản thân hay bị vội vàng khi gặp các yếu tố cụ thể nào đó (ví dụ thông tin quá nhiều, hạn chót quá gấp) hay không?" id="6"/>
    <tableColumn name="K5. Bạn có biết về những hình thức lừa đảo phổ biến hiện nay nhắm tới học sinh, sinh viên không?" id="7"/>
    <tableColumn name="A1. Khi gặp một thông tin chưa rõ đúng sai ra sao, bạn thường bình tĩnh để suy xét lại?" id="8"/>
    <tableColumn name="A2. Bạn thường cân nhắc kĩ trước khi chia sẻ hoặc cung cấp thông tin cá nhân của mình trên mạng?" id="9"/>
    <tableColumn name="A3. Khi nhận được một yêu cầu hay thông tin đến từ người quen (ví dụ bạn bè, gia đình, người thân,..), bạn có thường cân nhắc thật kĩ?" id="10"/>
    <tableColumn name="A4. Khi gặp một chuyện đang cần làm gấp, bạn có thường quyết định luôn rồi xem xét lại sau không?" id="11"/>
    <tableColumn name="A5. Khi gặp một tình huống cảm thấy đáng ngờ, bạn có thường tự mình quyết định luôn thay vì hỏi người khác vì có lý do gì đó (kiểu như ngại làm phiền người khác hoặc sợ bị đánh giá là không biết,...) hay không?" id="12"/>
    <tableColumn name="A6. Bạn có cảm thấy tự tin bản thân sẽ nhận biết và tránh được các trường hợp lừa đảo không?" id="13"/>
    <tableColumn name="A7. Bạn thường hoặc sẽ cảnh báo cho bạn bè, người thân, những người xung quanh về những hình thức lừa đảo mới chứ?" id="14"/>
    <tableColumn name="B1. Bạn đang muốn tham gia một buổi hướng dẫn kỹ năng học tập do một đơn vị trong trường tổ chức. _x000a_Bài đăng của họ nằm trên kênh thông báo mà sinh viên thường dùng để theo dõi hoạt động của đơn vị này. _x000a_Nội dung bài đăng có ghi thời gian, địa điểm, chủ đề buổi học và tên người phụ trách khá rõ ràng. Còn biểu mẫu đăng ký yêu cầu họ tên, lớp, email liên hệ và ca muốn tham gia để ban tổ chức sắp xếp danh sách. _x000a_Bạn cần làm gì?" id="15"/>
    <tableColumn name="B2. Bạn là người được phân công mang bảng tên và danh sách điểm danh cho buổi sinh hoạt câu lạc bộ đầu giờ quan trọng lúc 18:00. _x000a_Lúc 17:30, một bạn gửi vào nhóm chung ảnh chụp thông báo đổi địa điểm sang phòng khác. Ảnh có ghi thời gian và phòng mới, nhưng không thấy bài đăng nào bên kênh thông báo thường dùng của câu lạc bộ. _x000a_Bạn nên làm gì?_x000a_Bạn không thể đi sai địa điểm vì như vậy sẽ gián đoạn buổi sinh hoạt quan trọng của câu lạc bộ." id="16"/>
    <tableColumn name="B3. Bạn đang cần tài liệu ôn tập cho bài kiểm tra. Trước đó, giảng viên có nói tài liệu chính thức sẽ được đăng trong mục “Tài liệu môn học” trên hệ thống học tập. Trong nhóm lớp, có một bạn gửi tin nhắn:_x000a_“Có bản tổng hợp này khá đầy đủ nè: study-docs-vn.com/on-tap-mon-hoc”_x000a_Khi mở trang, bạn thấy tiêu đề đúng tên môn học và có nút “Tải bản đầy đủ”. Sau khi bấm tải, trang yêu cầu bạn đăng nhập bằng tài khoản học tập để “xác minh sinh viên”._x000a_Bạn nên làm gì?" id="17"/>
    <tableColumn name="B4. Bạn thấy một bài đăng trong nhóm sinh viên:_x000a_“WORKSHOP NÂNG TẦM TƯ DUY SINH VIÊN_x000a_Có quà tặng nhỏ cho người tham gia._x000a_Đăng ký trước 22:00 hôm nay để giữ suất._x000a_Link form đăng ký bên dưới.”_x000a_Poster trong bài viết nhìn khá chỉn chu. Form đăng ký hỏi họ tên, lớp, email và số điện thoại. Tuy nhiên, trong bài đăng chỉ có tên workshop, chưa thấy thông tin về đơn vị tổ chức, thời gian diễn ra, địa điểm cụ thể hoặc người phụ trách._x000a_Bạn nên làm gì?" id="18"/>
    <tableColumn name="B5. Lớp bạn đã thống nhất làm áo lớp trong buổi họp trước. Hôm nay, thủ quỹ đăng trong nhóm lớp:_x000a_“Tiền áo nhóm: 85.000đ/người_x000a_Hạn đóng: trước Chủ nhật_x000a_STK: 0123456789_x000a_Tên người nhận: Nguyễn Minh Anh_x000a_Nội dung chuyển khoản: Họ tên + lớp”_x000a_Tên người nhận trùng với thủ quỹ của lớp, số tiền và nội dung thu cũng khớp với việc lớp đã thống nhất. Bạn có tham gia làm áo lớp._x000a_Bạn đã thấy tin nhắn, vậy bạn nên làm gì?" id="19"/>
    <tableColumn name="B6. Bạn muốn mua lại một cuốn giáo trình cũ trong nhóm trao đổi sách sinh viên. Người bán gửi ảnh sách, giá hợp lý và nói có thể giao trong trường vào ngày mai. Tuy nhiên, người bán muốn bạn chuyển cọc trong 10 phút để giữ sách. Bạn chưa từng giao dịch với người này._x000a_Bạn nên làm gì?" id="20"/>
    <tableColumn name="B7. Bạn đang lên nhóm lớp xem thông tin thì thấy có tin nhắn mới thì một người bạn. Họ gửi lên một đường dẫn khảo sát và nhờ các bạn trong lớp đăng nhập và làm khảo sát hộ cho nghiên cứu của họ. Họ dặn cứ làm xong nhắn riêng cho họ, và gửi ảnh minh chứng, họ sẽ gửi quà._x000a_Bạn nên làm gì?" id="21"/>
    <tableColumn name="B8. Một người quen nhắn bạn: “Vào link này đăng nhập xác nhận rồi like giúp mình với, nhanh nha. Này là cuộc thi mình tham gia ấy.” Họ nhắn khá là ngắn gọn kèm một đường dẫn, đề cập đang bận nên không tiện gọi điện. _x000a_Bạn nên làm gì?" id="22"/>
    <tableColumn name="Score" id="23"/>
  </tableColumns>
  <tableStyleInfo name="Form1-style" showColumnStripes="0" showFirstColumn="1" showLastColumn="1" showRowStripes="1"/>
</table>
</file>

<file path=xl/tables/table2.xml><?xml version="1.0" encoding="utf-8"?>
<table xmlns="http://schemas.openxmlformats.org/spreadsheetml/2006/main" ref="A1:AP31" displayName="Bảng_2" name="Bảng_2" id="2">
  <tableColumns count="42">
    <tableColumn name="Timestamp" id="1"/>
    <tableColumn name="Email Address" id="2"/>
    <tableColumn name="Giới tính của bạn là?" id="3"/>
    <tableColumn name="Bạn bao nhiêu tuổi?" id="4"/>
    <tableColumn name="Lĩnh vực học tập / làm việc" id="5"/>
    <tableColumn name="K1. Bạn có biết rằng thông tin trên mạng khi nhận được cần được xem xét, kiểm tra kỹ hơn bình thường không?" id="6"/>
    <tableColumn name="K2. Bạn có hiểu tầm quan trọng của việc bảo vệ thông tin cá nhân khi sử dụng Internet không?" id="7"/>
    <tableColumn name="K3. Bạn có biết bản thân phải làm gì (chẳng hạn kiểm tra lại thông tin, đi hỏi,...) khi gặp một tình huống khiến bạn phân vân không?" id="8"/>
    <tableColumn name="K4. Bạn có nhận thấy được bản thân hay bị vội vàng khi gặp các yếu tố cụ thể nào đó (ví dụ thông tin quá nhiều, hạn chót quá gấp) hay không?" id="9"/>
    <tableColumn name="K5. Bạn có biết về những hình thức lừa đảo phổ biến hiện nay nhắm tới học sinh, sinh viên không?" id="10"/>
    <tableColumn name="A1. Khi gặp một thông tin chưa rõ đúng sai ra sao, bạn chọn cách bình tĩnh để suy xét lại?" id="11"/>
    <tableColumn name="A2. Bạn cân nhắc rất kĩ trước khi chia sẻ hoặc cung cấp thông tin cá nhân của mình trên mạng?" id="12"/>
    <tableColumn name="A3. Khi nhận được một yêu cầu hay thông tin đến từ người quen (ví dụ bạn bè, gia đình, người thân,..), bạn có cân nhắc thật kĩ?" id="13"/>
    <tableColumn name="A4. Khi gặp một chuyện đang cần làm gấp, bạn có quyết định luôn rồi xem xét lại sau không?" id="14"/>
    <tableColumn name="A5. Khi gặp một tình huống cảm thấy đáng ngờ, bạn có tự mình quyết định luôn thay vì hỏi người khác vì có lý do gì đó (kiểu như ngại làm phiền người khác hoặc sợ bị đánh giá là không biết,...) hay không?" id="15"/>
    <tableColumn name="A6. Bạn có cảm thấy tự tin bản thân sẽ nhận biết và tránh được các trường hợp lừa đảo không?" id="16"/>
    <tableColumn name="A7. Bạn cảnh báo cho bạn bè, người thân, những người xung quanh về mỗi khi biết thêm những hình thức lừa đảo mới chứ?" id="17"/>
    <tableColumn name="B1. Bạn thấy bài đăng tuyển cộng tác viên hỗ trợ sự kiện cuối tuần. _x000a_Công việc mô tả khá phù hợp với sinh viên, thời gian linh hoạt và có phụ cấp sau buổi làm. _x000a_Khi nhắn hỏi thêm, người đăng yêu cầu bạn đóng một khoản phí giữ chỗ trước, nói rằng nếu không đóng thì sẽ không đảm bảo suất sẽ bị chuyển cho người khác. Họ khuyên bạn nên cọc trước để chắc ăn._x000a_Bạn nên làm gì?" id="18"/>
    <tableColumn name="B2. Một bài đăng kêu gọi quyên góp cho một sinh viên gặp khó khăn được chia sẻ trong nhiều nhóm sinh viên. _x000a_Bài viết có câu chuyện rất cảm động, có cả ảnh chụp và số tài khoản cá nhân để chuyển tiền. _x000a_Tuy nhiên, bạn không thấy được thông tin bài viết trong các trang, nhóm của lớp, khoa, câu lạc bộ hay bất cứ đơn vị nào của trường. _x000a_Bạn nên làm gì?" id="19"/>
    <tableColumn name="B3. Bạn đã đăng nhập tài khoản học tập vào một trang tài liệu mới tìm được. Sau đó vài phút, bạn nhận được thông báo có lượt đăng nhập mới từ vị trí lạ. Tài khoản của bạn vẫn còn truy cập được bình thường._x000a_Bạn nên làm gì?" id="20"/>
    <tableColumn name="B4. Bạn đang cần tìm phòng trọ gần trường. Bạn tìm và gia nhập các hội nhóm liên quan đến chủ đề này ở nơi cần tìm._x000a_Lướt qua các bài, bạn thấy một bài đăng có ảnh phòng khá đẹp, giá thấp hơn nhiều so với các phòng cùng khu vực. _x000a_Khi liên hệ qua tin nhắn, người đăng nói phòng sắp tới sẽ có nhiều bên định thuê và yêu cầu chuyển cọc trong ngày để giữ phòng._x000a_Bạn nên làm gì?" id="21"/>
    <tableColumn name="B5. Bạn đang dùng ví điện tử thì nhận được cuộc gọi tự xưng là bộ phận hỗ trợ, nói tài khoản của bạn có giao dịch bất thường. Người gọi yêu cầu bạn đọc mã xác nhận vừa gửi về điện thoại qua tin nhắn để khóa giao dịch tài khoản, tránh mất tiền oan. _x000a_Tin nhắn kèm mã xác nhận được gửi đến, và bạn cũng thấy thông báo có thiết bị mới đòi quyền đăng nhập. _x000a_Bạn nên làm gì?" id="22"/>
    <tableColumn name="B6. Bạn thấy một mã QR thanh toán được dán ở quầy của một quán quen gần trường. _x000a_Khi bạn quét, tên người nhận hiện ra khác với tên quán mà bạn thường thấy trước đây. Nhân viên thì đang bận, phía sau lại có người đang chờ. Bạn cần phải nhanh lên._x000a_Bạn nên làm gì?" id="23"/>
    <tableColumn name="B7. Bạn nhận được email mời phỏng vấn thực tập. Email ghi đúng vị trí bạn từng ứng tuyển cũng như là công việc bạn thích. Họ gửi cho bạn file mô tả công việc chi tiết được đính kèm dưới dạng tệp cài đặt, không phải tài liệu PDF/DOC và giải thích rằng đây là ứng dụng riêng của công ty cần các bạn cài đặt trước._x000a_Bạn nên làm gì?" id="24"/>
    <tableColumn name="B8. Bạn muốn đăng ký một buổi tham quan phòng lab của khoa. _x000a_Bạn nhìn thấy một thông báo được đăng trên kênh mà sinh viên thường dùng để theo dõi hoạt động của khoa. Bài đăng có thời gian, địa điểm tập trung, nội dung buổi tham quan và tên người phụ trách, trông khá là đầy đủ._x000a_Phiếu đăng ký yêu cầu bạn cung cấp họ tên, lớp, mã số sinh viên, email liên hệ và khung giờ muốn tham gia để sắp xếp số lượng người._x000a_Bạn nên làm gì?" id="25"/>
    <tableColumn name="B9. Bạn đang lên nhóm lớp xem thông tin thì thấy có tin nhắn mới thì một người bạn. Họ gửi lên một đường dẫn để chia sẻ một tài liệu mới cho các bạn trong lớp. _x000a_Khi bạn bấm vào, bạn trông thấy một trang web mới với rất nhiều tài liệu hay._x000a_Bạn bấm vào xem thì trang web yêu cầu bạn đăng nhập để có được trải nghiệm tốt hơn._x000a_Bạn nên làm gì?" id="26"/>
    <tableColumn name="B10. Bạn nhận được tin nhắn từ một người bạn: “Vote giúp mình bài dự thi này với, đăng nhập vào làm cái là xong.” _x000a_Người đó gửi cho bạn một đường dẫn yêu cầu đăng nhập tài khoản mạng xã hội. _x000a_Và khi bạn hỏi thêm thì người đó chỉ trả lời nhanh giúp mình đi, bạn ấy còn phải đi nhờ thêm nhiều người khác._x000a_Bạn nên làm gì?  " id="27"/>
    <tableColumn name="B11. Bạn thấy một chương trình nhận voucher sinh viên yêu cầu đăng nhập tài khoản mạng xã hội và chia sẻ cho vài người bạn để mở khóa mã nhận thưởng. _x000a_Bạn không nhớ mình từng đăng ký chương trình này, nhưng phần thưởng trông cũng khá hấp dẫn._x000a_Bạn nên làm gì?  " id="28"/>
    <tableColumn name="B12. Bạn đang chơi game online với bạn bè thì nhận được tin nhắn về sự kiện tặng vật phẩm miễn phí cho riêng cho sinh viên. Trang yêu cầu đăng nhập tài khoản game và liên kết email cũng như xác nhận danh tính sinh viên để nhận quà. _x000a_Giao diện trang nhìn rất giống sự kiện của game đang chơi, trông khá đẹp._x000a_Bạn nên làm gì?" id="29"/>
    <tableColumn name="Score" id="30"/>
    <tableColumn name="G1. Giao diện trong game rõ ràng, dễ hiểu và các thao tác trong game dễ thực hiện." id="31"/>
    <tableColumn name="G2. Trong phần lớn lộ trình chơi game, bạn hiểu rằng mình cần làm gì tiếp theo để đi tiếp lộ trình." id="32"/>
    <tableColumn name="G3. Game chạy rất ổn định, không có lỗi làm gián đoạn trải nghiệm của bạn trong lúc chơi." id="33"/>
    <tableColumn name="G4. Cốt truyện và các tình huống trong game rất thú vị đủ để bạn thích và muốn tiếp tục theo dõi." id="34"/>
    <tableColumn name="G5. Game tạo ra được cảm giác thử thách và sự hứng thú cho bạn." id="35"/>
    <tableColumn name="G6. Nhìn chung, bạn hài lòng với trải nghiệm chơi game." id="36"/>
    <tableColumn name="G7. Game giúp bạn hiểu biết thêm về các hình thức lừa đảo với học sinh, sinh viên hiện nay" id="37"/>
    <tableColumn name="G8. Sau khi chơi, bạn thấy mình có thể áp dụng bài học trong game vào tình huống ngoài đời." id="38"/>
    <tableColumn name="G9. Bạn cảm thấy phản hồi cuối cùng khi hoàn thành màn chơi phù hợp, hữu ích với bản thân" id="39"/>
    <tableColumn name="G10. Bạn có sẵn sàng đề xuất game cho người khác" id="40"/>
    <tableColumn name="G11. Bạn nghĩ game cần cải thiện thêm những gì ngoài những thứ đã đề cập ở trên kia?" id="41"/>
    <tableColumn name="Truớc khi thực hiện khảo sát, bạn đã có trải nghiệm và hoàn thành game chưa?" id="42"/>
  </tableColumns>
  <tableStyleInfo name="Form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46173.37717328704</v>
      </c>
      <c r="B2" s="3" t="s">
        <v>23</v>
      </c>
      <c r="C2" s="4">
        <v>5.0</v>
      </c>
      <c r="D2" s="4">
        <v>5.0</v>
      </c>
      <c r="E2" s="4">
        <v>4.0</v>
      </c>
      <c r="F2" s="4">
        <v>1.0</v>
      </c>
      <c r="G2" s="4">
        <v>5.0</v>
      </c>
      <c r="H2" s="4">
        <v>5.0</v>
      </c>
      <c r="I2" s="4">
        <v>5.0</v>
      </c>
      <c r="J2" s="4">
        <v>3.0</v>
      </c>
      <c r="K2" s="4">
        <v>1.0</v>
      </c>
      <c r="L2" s="4">
        <v>2.0</v>
      </c>
      <c r="M2" s="4">
        <v>5.0</v>
      </c>
      <c r="N2" s="4">
        <v>5.0</v>
      </c>
      <c r="O2" s="3" t="s">
        <v>24</v>
      </c>
      <c r="P2" s="3" t="s">
        <v>25</v>
      </c>
      <c r="Q2" s="3" t="s">
        <v>26</v>
      </c>
      <c r="R2" s="3" t="s">
        <v>27</v>
      </c>
      <c r="S2" s="3" t="s">
        <v>28</v>
      </c>
      <c r="T2" s="3" t="s">
        <v>29</v>
      </c>
      <c r="U2" s="3" t="s">
        <v>30</v>
      </c>
      <c r="V2" s="3" t="s">
        <v>31</v>
      </c>
      <c r="W2" s="5">
        <v>90.0</v>
      </c>
    </row>
    <row r="3" ht="22.5" customHeight="1">
      <c r="A3" s="6">
        <v>46173.45099887731</v>
      </c>
      <c r="B3" s="7" t="s">
        <v>32</v>
      </c>
      <c r="C3" s="8">
        <v>5.0</v>
      </c>
      <c r="D3" s="8">
        <v>5.0</v>
      </c>
      <c r="E3" s="8">
        <v>5.0</v>
      </c>
      <c r="F3" s="8">
        <v>5.0</v>
      </c>
      <c r="G3" s="8">
        <v>5.0</v>
      </c>
      <c r="H3" s="8">
        <v>5.0</v>
      </c>
      <c r="I3" s="8">
        <v>5.0</v>
      </c>
      <c r="J3" s="8">
        <v>4.0</v>
      </c>
      <c r="K3" s="8">
        <v>4.0</v>
      </c>
      <c r="L3" s="8">
        <v>3.0</v>
      </c>
      <c r="M3" s="8">
        <v>5.0</v>
      </c>
      <c r="N3" s="8">
        <v>4.0</v>
      </c>
      <c r="O3" s="7" t="s">
        <v>24</v>
      </c>
      <c r="P3" s="7" t="s">
        <v>33</v>
      </c>
      <c r="Q3" s="7" t="s">
        <v>26</v>
      </c>
      <c r="R3" s="7" t="s">
        <v>27</v>
      </c>
      <c r="S3" s="7" t="s">
        <v>28</v>
      </c>
      <c r="T3" s="7" t="s">
        <v>34</v>
      </c>
      <c r="U3" s="7" t="s">
        <v>30</v>
      </c>
      <c r="V3" s="7" t="s">
        <v>31</v>
      </c>
      <c r="W3" s="9">
        <v>90.0</v>
      </c>
    </row>
    <row r="4" ht="22.5" customHeight="1">
      <c r="A4" s="2">
        <v>46173.472843703705</v>
      </c>
      <c r="B4" s="3" t="s">
        <v>35</v>
      </c>
      <c r="C4" s="4">
        <v>5.0</v>
      </c>
      <c r="D4" s="4">
        <v>5.0</v>
      </c>
      <c r="E4" s="4">
        <v>5.0</v>
      </c>
      <c r="F4" s="4">
        <v>5.0</v>
      </c>
      <c r="G4" s="4">
        <v>5.0</v>
      </c>
      <c r="H4" s="4">
        <v>4.0</v>
      </c>
      <c r="I4" s="4">
        <v>5.0</v>
      </c>
      <c r="J4" s="4">
        <v>4.0</v>
      </c>
      <c r="K4" s="4">
        <v>3.0</v>
      </c>
      <c r="L4" s="4">
        <v>3.0</v>
      </c>
      <c r="M4" s="4">
        <v>5.0</v>
      </c>
      <c r="N4" s="4">
        <v>4.0</v>
      </c>
      <c r="O4" s="3" t="s">
        <v>24</v>
      </c>
      <c r="P4" s="3" t="s">
        <v>33</v>
      </c>
      <c r="Q4" s="3" t="s">
        <v>36</v>
      </c>
      <c r="R4" s="3" t="s">
        <v>27</v>
      </c>
      <c r="S4" s="3" t="s">
        <v>28</v>
      </c>
      <c r="T4" s="3" t="s">
        <v>29</v>
      </c>
      <c r="U4" s="3" t="s">
        <v>30</v>
      </c>
      <c r="V4" s="3" t="s">
        <v>37</v>
      </c>
      <c r="W4" s="5">
        <v>75.0</v>
      </c>
    </row>
    <row r="5" ht="22.5" customHeight="1">
      <c r="A5" s="6">
        <v>46173.4788643287</v>
      </c>
      <c r="B5" s="7" t="s">
        <v>38</v>
      </c>
      <c r="C5" s="8">
        <v>3.0</v>
      </c>
      <c r="D5" s="8">
        <v>2.0</v>
      </c>
      <c r="E5" s="8">
        <v>2.0</v>
      </c>
      <c r="F5" s="8">
        <v>1.0</v>
      </c>
      <c r="G5" s="8">
        <v>2.0</v>
      </c>
      <c r="H5" s="8">
        <v>2.0</v>
      </c>
      <c r="I5" s="8">
        <v>3.0</v>
      </c>
      <c r="J5" s="8">
        <v>1.0</v>
      </c>
      <c r="K5" s="8">
        <v>4.0</v>
      </c>
      <c r="L5" s="8">
        <v>3.0</v>
      </c>
      <c r="M5" s="8">
        <v>2.0</v>
      </c>
      <c r="N5" s="8">
        <v>3.0</v>
      </c>
      <c r="O5" s="10" t="s">
        <v>24</v>
      </c>
      <c r="P5" s="10" t="s">
        <v>33</v>
      </c>
      <c r="Q5" s="10" t="s">
        <v>36</v>
      </c>
      <c r="R5" s="10" t="s">
        <v>27</v>
      </c>
      <c r="S5" s="10" t="s">
        <v>28</v>
      </c>
      <c r="T5" s="10" t="s">
        <v>29</v>
      </c>
      <c r="U5" s="10" t="s">
        <v>39</v>
      </c>
      <c r="V5" s="10" t="s">
        <v>37</v>
      </c>
      <c r="W5" s="11">
        <v>60.0</v>
      </c>
    </row>
    <row r="6" ht="22.5" customHeight="1">
      <c r="A6" s="2">
        <v>46173.69754799768</v>
      </c>
      <c r="B6" s="3" t="s">
        <v>40</v>
      </c>
      <c r="C6" s="4">
        <v>5.0</v>
      </c>
      <c r="D6" s="4">
        <v>5.0</v>
      </c>
      <c r="E6" s="4">
        <v>5.0</v>
      </c>
      <c r="F6" s="4">
        <v>4.0</v>
      </c>
      <c r="G6" s="4">
        <v>2.0</v>
      </c>
      <c r="H6" s="4">
        <v>5.0</v>
      </c>
      <c r="I6" s="4">
        <v>5.0</v>
      </c>
      <c r="J6" s="4">
        <v>3.0</v>
      </c>
      <c r="K6" s="4">
        <v>5.0</v>
      </c>
      <c r="L6" s="4">
        <v>5.0</v>
      </c>
      <c r="M6" s="4">
        <v>3.0</v>
      </c>
      <c r="N6" s="4">
        <v>4.0</v>
      </c>
      <c r="O6" s="3" t="s">
        <v>41</v>
      </c>
      <c r="P6" s="3" t="s">
        <v>33</v>
      </c>
      <c r="Q6" s="3" t="s">
        <v>26</v>
      </c>
      <c r="R6" s="3" t="s">
        <v>27</v>
      </c>
      <c r="S6" s="3" t="s">
        <v>42</v>
      </c>
      <c r="T6" s="3" t="s">
        <v>29</v>
      </c>
      <c r="U6" s="3" t="s">
        <v>30</v>
      </c>
      <c r="V6" s="3" t="s">
        <v>31</v>
      </c>
      <c r="W6" s="5">
        <v>105.0</v>
      </c>
    </row>
    <row r="7" ht="22.5" customHeight="1">
      <c r="A7" s="6">
        <v>46173.72186178241</v>
      </c>
      <c r="B7" s="7" t="s">
        <v>43</v>
      </c>
      <c r="C7" s="8">
        <v>5.0</v>
      </c>
      <c r="D7" s="8">
        <v>5.0</v>
      </c>
      <c r="E7" s="8">
        <v>5.0</v>
      </c>
      <c r="F7" s="8">
        <v>3.0</v>
      </c>
      <c r="G7" s="8">
        <v>5.0</v>
      </c>
      <c r="H7" s="8">
        <v>4.0</v>
      </c>
      <c r="I7" s="8">
        <v>5.0</v>
      </c>
      <c r="J7" s="8">
        <v>5.0</v>
      </c>
      <c r="K7" s="8">
        <v>3.0</v>
      </c>
      <c r="L7" s="8">
        <v>2.0</v>
      </c>
      <c r="M7" s="8">
        <v>4.0</v>
      </c>
      <c r="N7" s="8">
        <v>5.0</v>
      </c>
      <c r="O7" s="7" t="s">
        <v>24</v>
      </c>
      <c r="P7" s="7" t="s">
        <v>33</v>
      </c>
      <c r="Q7" s="7" t="s">
        <v>26</v>
      </c>
      <c r="R7" s="7" t="s">
        <v>27</v>
      </c>
      <c r="S7" s="7" t="s">
        <v>42</v>
      </c>
      <c r="T7" s="7" t="s">
        <v>29</v>
      </c>
      <c r="U7" s="7" t="s">
        <v>30</v>
      </c>
      <c r="V7" s="7" t="s">
        <v>31</v>
      </c>
      <c r="W7" s="9">
        <v>120.0</v>
      </c>
    </row>
    <row r="8" ht="22.5" customHeight="1">
      <c r="A8" s="2">
        <v>46173.7233315162</v>
      </c>
      <c r="B8" s="3" t="s">
        <v>44</v>
      </c>
      <c r="C8" s="4">
        <v>4.0</v>
      </c>
      <c r="D8" s="4">
        <v>5.0</v>
      </c>
      <c r="E8" s="4">
        <v>3.0</v>
      </c>
      <c r="F8" s="4">
        <v>1.0</v>
      </c>
      <c r="G8" s="4">
        <v>5.0</v>
      </c>
      <c r="H8" s="4">
        <v>5.0</v>
      </c>
      <c r="I8" s="4">
        <v>5.0</v>
      </c>
      <c r="J8" s="4">
        <v>5.0</v>
      </c>
      <c r="K8" s="4">
        <v>4.0</v>
      </c>
      <c r="L8" s="4">
        <v>5.0</v>
      </c>
      <c r="M8" s="4">
        <v>5.0</v>
      </c>
      <c r="N8" s="4">
        <v>5.0</v>
      </c>
      <c r="O8" s="3" t="s">
        <v>24</v>
      </c>
      <c r="P8" s="3" t="s">
        <v>33</v>
      </c>
      <c r="Q8" s="3" t="s">
        <v>26</v>
      </c>
      <c r="R8" s="3" t="s">
        <v>27</v>
      </c>
      <c r="S8" s="3" t="s">
        <v>28</v>
      </c>
      <c r="T8" s="3" t="s">
        <v>29</v>
      </c>
      <c r="U8" s="3" t="s">
        <v>30</v>
      </c>
      <c r="V8" s="3" t="s">
        <v>31</v>
      </c>
      <c r="W8" s="5">
        <v>105.0</v>
      </c>
    </row>
    <row r="9" ht="22.5" customHeight="1">
      <c r="A9" s="6">
        <v>46173.729694340276</v>
      </c>
      <c r="B9" s="7" t="s">
        <v>45</v>
      </c>
      <c r="C9" s="8">
        <v>3.0</v>
      </c>
      <c r="D9" s="8">
        <v>4.0</v>
      </c>
      <c r="E9" s="8">
        <v>4.0</v>
      </c>
      <c r="F9" s="8">
        <v>5.0</v>
      </c>
      <c r="G9" s="8">
        <v>4.0</v>
      </c>
      <c r="H9" s="8">
        <v>4.0</v>
      </c>
      <c r="I9" s="8">
        <v>5.0</v>
      </c>
      <c r="J9" s="8">
        <v>2.0</v>
      </c>
      <c r="K9" s="8">
        <v>4.0</v>
      </c>
      <c r="L9" s="8">
        <v>2.0</v>
      </c>
      <c r="M9" s="8">
        <v>2.0</v>
      </c>
      <c r="N9" s="8">
        <v>2.0</v>
      </c>
      <c r="O9" s="7" t="s">
        <v>24</v>
      </c>
      <c r="P9" s="7" t="s">
        <v>33</v>
      </c>
      <c r="Q9" s="7" t="s">
        <v>26</v>
      </c>
      <c r="R9" s="7" t="s">
        <v>27</v>
      </c>
      <c r="S9" s="7" t="s">
        <v>28</v>
      </c>
      <c r="T9" s="7" t="s">
        <v>46</v>
      </c>
      <c r="U9" s="7" t="s">
        <v>30</v>
      </c>
      <c r="V9" s="7" t="s">
        <v>31</v>
      </c>
      <c r="W9" s="9">
        <v>90.0</v>
      </c>
    </row>
    <row r="10" ht="22.5" customHeight="1">
      <c r="A10" s="2">
        <v>46173.73379277778</v>
      </c>
      <c r="B10" s="3" t="s">
        <v>47</v>
      </c>
      <c r="C10" s="4">
        <v>4.0</v>
      </c>
      <c r="D10" s="4">
        <v>5.0</v>
      </c>
      <c r="E10" s="4">
        <v>5.0</v>
      </c>
      <c r="F10" s="4">
        <v>5.0</v>
      </c>
      <c r="G10" s="4">
        <v>3.0</v>
      </c>
      <c r="H10" s="4">
        <v>4.0</v>
      </c>
      <c r="I10" s="4">
        <v>5.0</v>
      </c>
      <c r="J10" s="4">
        <v>4.0</v>
      </c>
      <c r="K10" s="4">
        <v>3.0</v>
      </c>
      <c r="L10" s="4">
        <v>1.0</v>
      </c>
      <c r="M10" s="4">
        <v>3.0</v>
      </c>
      <c r="N10" s="4">
        <v>5.0</v>
      </c>
      <c r="O10" s="3" t="s">
        <v>24</v>
      </c>
      <c r="P10" s="3" t="s">
        <v>33</v>
      </c>
      <c r="Q10" s="3" t="s">
        <v>26</v>
      </c>
      <c r="R10" s="3" t="s">
        <v>27</v>
      </c>
      <c r="S10" s="3" t="s">
        <v>28</v>
      </c>
      <c r="T10" s="3" t="s">
        <v>29</v>
      </c>
      <c r="U10" s="3" t="s">
        <v>30</v>
      </c>
      <c r="V10" s="3" t="s">
        <v>37</v>
      </c>
      <c r="W10" s="5">
        <v>90.0</v>
      </c>
    </row>
    <row r="11" ht="22.5" customHeight="1">
      <c r="A11" s="6">
        <v>46173.74539967593</v>
      </c>
      <c r="B11" s="7" t="s">
        <v>48</v>
      </c>
      <c r="C11" s="8">
        <v>5.0</v>
      </c>
      <c r="D11" s="8">
        <v>5.0</v>
      </c>
      <c r="E11" s="8">
        <v>5.0</v>
      </c>
      <c r="F11" s="8">
        <v>3.0</v>
      </c>
      <c r="G11" s="8">
        <v>5.0</v>
      </c>
      <c r="H11" s="8">
        <v>5.0</v>
      </c>
      <c r="I11" s="8">
        <v>5.0</v>
      </c>
      <c r="J11" s="8">
        <v>4.0</v>
      </c>
      <c r="K11" s="8">
        <v>3.0</v>
      </c>
      <c r="L11" s="8">
        <v>4.0</v>
      </c>
      <c r="M11" s="8">
        <v>5.0</v>
      </c>
      <c r="N11" s="8">
        <v>5.0</v>
      </c>
      <c r="O11" s="7" t="s">
        <v>24</v>
      </c>
      <c r="P11" s="7" t="s">
        <v>33</v>
      </c>
      <c r="Q11" s="7" t="s">
        <v>36</v>
      </c>
      <c r="R11" s="7" t="s">
        <v>27</v>
      </c>
      <c r="S11" s="7" t="s">
        <v>28</v>
      </c>
      <c r="T11" s="7" t="s">
        <v>29</v>
      </c>
      <c r="U11" s="7" t="s">
        <v>39</v>
      </c>
      <c r="V11" s="7" t="s">
        <v>37</v>
      </c>
      <c r="W11" s="9">
        <v>60.0</v>
      </c>
    </row>
    <row r="12" ht="22.5" customHeight="1">
      <c r="A12" s="2">
        <v>46173.75573586806</v>
      </c>
      <c r="B12" s="3" t="s">
        <v>49</v>
      </c>
      <c r="C12" s="4">
        <v>5.0</v>
      </c>
      <c r="D12" s="4">
        <v>5.0</v>
      </c>
      <c r="E12" s="4">
        <v>5.0</v>
      </c>
      <c r="F12" s="4">
        <v>3.0</v>
      </c>
      <c r="G12" s="4">
        <v>5.0</v>
      </c>
      <c r="H12" s="4">
        <v>4.0</v>
      </c>
      <c r="I12" s="4">
        <v>5.0</v>
      </c>
      <c r="J12" s="4">
        <v>5.0</v>
      </c>
      <c r="K12" s="4">
        <v>5.0</v>
      </c>
      <c r="L12" s="4">
        <v>5.0</v>
      </c>
      <c r="M12" s="4">
        <v>4.0</v>
      </c>
      <c r="N12" s="4">
        <v>5.0</v>
      </c>
      <c r="O12" s="3" t="s">
        <v>24</v>
      </c>
      <c r="P12" s="3" t="s">
        <v>33</v>
      </c>
      <c r="Q12" s="3" t="s">
        <v>26</v>
      </c>
      <c r="R12" s="3" t="s">
        <v>50</v>
      </c>
      <c r="S12" s="3" t="s">
        <v>28</v>
      </c>
      <c r="T12" s="3" t="s">
        <v>46</v>
      </c>
      <c r="U12" s="3" t="s">
        <v>39</v>
      </c>
      <c r="V12" s="3" t="s">
        <v>51</v>
      </c>
      <c r="W12" s="5">
        <v>45.0</v>
      </c>
    </row>
    <row r="13" ht="22.5" customHeight="1">
      <c r="A13" s="12">
        <v>46173.767512986116</v>
      </c>
      <c r="B13" s="13" t="s">
        <v>52</v>
      </c>
      <c r="C13" s="14">
        <v>5.0</v>
      </c>
      <c r="D13" s="14">
        <v>5.0</v>
      </c>
      <c r="E13" s="14">
        <v>5.0</v>
      </c>
      <c r="F13" s="14">
        <v>4.0</v>
      </c>
      <c r="G13" s="14">
        <v>4.0</v>
      </c>
      <c r="H13" s="14">
        <v>5.0</v>
      </c>
      <c r="I13" s="14">
        <v>5.0</v>
      </c>
      <c r="J13" s="14">
        <v>5.0</v>
      </c>
      <c r="K13" s="14">
        <v>3.0</v>
      </c>
      <c r="L13" s="14">
        <v>3.0</v>
      </c>
      <c r="M13" s="14">
        <v>3.0</v>
      </c>
      <c r="N13" s="14">
        <v>5.0</v>
      </c>
      <c r="O13" s="13" t="s">
        <v>24</v>
      </c>
      <c r="P13" s="13" t="s">
        <v>33</v>
      </c>
      <c r="Q13" s="13" t="s">
        <v>26</v>
      </c>
      <c r="R13" s="13" t="s">
        <v>27</v>
      </c>
      <c r="S13" s="13" t="s">
        <v>42</v>
      </c>
      <c r="T13" s="13" t="s">
        <v>29</v>
      </c>
      <c r="U13" s="13" t="s">
        <v>30</v>
      </c>
      <c r="V13" s="13" t="s">
        <v>31</v>
      </c>
      <c r="W13" s="15">
        <v>120.0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88"/>
  </cols>
  <sheetData>
    <row r="1" ht="22.5" customHeight="1">
      <c r="A1" s="1" t="s">
        <v>0</v>
      </c>
      <c r="B1" s="1" t="s">
        <v>1</v>
      </c>
      <c r="C1" s="1" t="s">
        <v>53</v>
      </c>
      <c r="D1" s="1" t="s">
        <v>54</v>
      </c>
      <c r="E1" s="1" t="s">
        <v>55</v>
      </c>
      <c r="F1" s="1" t="s">
        <v>56</v>
      </c>
      <c r="G1" s="1" t="s">
        <v>3</v>
      </c>
      <c r="H1" s="1" t="s">
        <v>4</v>
      </c>
      <c r="I1" s="1" t="s">
        <v>5</v>
      </c>
      <c r="J1" s="1" t="s">
        <v>6</v>
      </c>
      <c r="K1" s="1" t="s">
        <v>57</v>
      </c>
      <c r="L1" s="1" t="s">
        <v>58</v>
      </c>
      <c r="M1" s="1" t="s">
        <v>59</v>
      </c>
      <c r="N1" s="1" t="s">
        <v>60</v>
      </c>
      <c r="O1" s="1" t="s">
        <v>61</v>
      </c>
      <c r="P1" s="1" t="s">
        <v>12</v>
      </c>
      <c r="Q1" s="1" t="s">
        <v>62</v>
      </c>
      <c r="R1" s="1" t="s">
        <v>63</v>
      </c>
      <c r="S1" s="1" t="s">
        <v>64</v>
      </c>
      <c r="T1" s="1" t="s">
        <v>65</v>
      </c>
      <c r="U1" s="1" t="s">
        <v>66</v>
      </c>
      <c r="V1" s="1" t="s">
        <v>67</v>
      </c>
      <c r="W1" s="1" t="s">
        <v>68</v>
      </c>
      <c r="X1" s="1" t="s">
        <v>69</v>
      </c>
      <c r="Y1" s="1" t="s">
        <v>70</v>
      </c>
      <c r="Z1" s="1" t="s">
        <v>71</v>
      </c>
      <c r="AA1" s="1" t="s">
        <v>72</v>
      </c>
      <c r="AB1" s="1" t="s">
        <v>73</v>
      </c>
      <c r="AC1" s="1" t="s">
        <v>74</v>
      </c>
      <c r="AD1" s="1" t="s">
        <v>22</v>
      </c>
      <c r="AE1" s="1" t="s">
        <v>75</v>
      </c>
      <c r="AF1" s="1" t="s">
        <v>76</v>
      </c>
      <c r="AG1" s="1" t="s">
        <v>77</v>
      </c>
      <c r="AH1" s="1" t="s">
        <v>78</v>
      </c>
      <c r="AI1" s="1" t="s">
        <v>79</v>
      </c>
      <c r="AJ1" s="1" t="s">
        <v>80</v>
      </c>
      <c r="AK1" s="1" t="s">
        <v>81</v>
      </c>
      <c r="AL1" s="1" t="s">
        <v>82</v>
      </c>
      <c r="AM1" s="1" t="s">
        <v>83</v>
      </c>
      <c r="AN1" s="1" t="s">
        <v>84</v>
      </c>
      <c r="AO1" s="1" t="s">
        <v>85</v>
      </c>
      <c r="AP1" s="1" t="s">
        <v>86</v>
      </c>
    </row>
    <row r="2" ht="22.5" customHeight="1">
      <c r="A2" s="6">
        <v>46173.473885150466</v>
      </c>
      <c r="B2" s="7" t="s">
        <v>32</v>
      </c>
      <c r="C2" s="7" t="s">
        <v>87</v>
      </c>
      <c r="D2" s="8">
        <v>21.0</v>
      </c>
      <c r="E2" s="7" t="s">
        <v>88</v>
      </c>
      <c r="F2" s="8">
        <v>5.0</v>
      </c>
      <c r="G2" s="8">
        <v>5.0</v>
      </c>
      <c r="H2" s="8">
        <v>5.0</v>
      </c>
      <c r="I2" s="8">
        <v>5.0</v>
      </c>
      <c r="J2" s="8">
        <v>5.0</v>
      </c>
      <c r="K2" s="8">
        <v>5.0</v>
      </c>
      <c r="L2" s="8">
        <v>5.0</v>
      </c>
      <c r="M2" s="8">
        <v>5.0</v>
      </c>
      <c r="N2" s="8">
        <v>5.0</v>
      </c>
      <c r="O2" s="8">
        <v>5.0</v>
      </c>
      <c r="P2" s="8">
        <v>5.0</v>
      </c>
      <c r="Q2" s="8">
        <v>5.0</v>
      </c>
      <c r="R2" s="7" t="s">
        <v>89</v>
      </c>
      <c r="S2" s="7" t="s">
        <v>90</v>
      </c>
      <c r="T2" s="7" t="s">
        <v>91</v>
      </c>
      <c r="U2" s="7" t="s">
        <v>92</v>
      </c>
      <c r="V2" s="7" t="s">
        <v>93</v>
      </c>
      <c r="W2" s="7" t="s">
        <v>94</v>
      </c>
      <c r="X2" s="7" t="s">
        <v>95</v>
      </c>
      <c r="Y2" s="7" t="s">
        <v>96</v>
      </c>
      <c r="Z2" s="7" t="s">
        <v>97</v>
      </c>
      <c r="AA2" s="7" t="s">
        <v>98</v>
      </c>
      <c r="AB2" s="7" t="s">
        <v>99</v>
      </c>
      <c r="AC2" s="7" t="s">
        <v>100</v>
      </c>
      <c r="AD2" s="16">
        <v>120.0</v>
      </c>
      <c r="AE2" s="8">
        <v>2.0</v>
      </c>
      <c r="AF2" s="8">
        <v>3.0</v>
      </c>
      <c r="AG2" s="8">
        <v>5.0</v>
      </c>
      <c r="AH2" s="8">
        <v>1.0</v>
      </c>
      <c r="AI2" s="8">
        <v>1.0</v>
      </c>
      <c r="AJ2" s="8">
        <v>2.0</v>
      </c>
      <c r="AK2" s="8">
        <v>4.0</v>
      </c>
      <c r="AL2" s="8">
        <v>4.0</v>
      </c>
      <c r="AM2" s="8">
        <v>3.0</v>
      </c>
      <c r="AN2" s="8">
        <v>1.0</v>
      </c>
      <c r="AO2" s="17"/>
      <c r="AP2" s="18" t="s">
        <v>101</v>
      </c>
    </row>
    <row r="3" ht="22.5" customHeight="1">
      <c r="A3" s="2">
        <v>46173.52466585649</v>
      </c>
      <c r="B3" s="3" t="s">
        <v>102</v>
      </c>
      <c r="C3" s="3" t="s">
        <v>87</v>
      </c>
      <c r="D3" s="4">
        <v>22.0</v>
      </c>
      <c r="E3" s="3" t="s">
        <v>103</v>
      </c>
      <c r="F3" s="4">
        <v>5.0</v>
      </c>
      <c r="G3" s="4">
        <v>5.0</v>
      </c>
      <c r="H3" s="4">
        <v>4.0</v>
      </c>
      <c r="I3" s="4">
        <v>4.0</v>
      </c>
      <c r="J3" s="4">
        <v>4.0</v>
      </c>
      <c r="K3" s="4">
        <v>5.0</v>
      </c>
      <c r="L3" s="4">
        <v>4.0</v>
      </c>
      <c r="M3" s="4">
        <v>3.0</v>
      </c>
      <c r="N3" s="4">
        <v>2.0</v>
      </c>
      <c r="O3" s="4">
        <v>4.0</v>
      </c>
      <c r="P3" s="4">
        <v>4.0</v>
      </c>
      <c r="Q3" s="4">
        <v>4.0</v>
      </c>
      <c r="R3" s="3" t="s">
        <v>89</v>
      </c>
      <c r="S3" s="3" t="s">
        <v>90</v>
      </c>
      <c r="T3" s="3" t="s">
        <v>91</v>
      </c>
      <c r="U3" s="3" t="s">
        <v>92</v>
      </c>
      <c r="V3" s="3" t="s">
        <v>93</v>
      </c>
      <c r="W3" s="3" t="s">
        <v>94</v>
      </c>
      <c r="X3" s="3" t="s">
        <v>95</v>
      </c>
      <c r="Y3" s="3" t="s">
        <v>96</v>
      </c>
      <c r="Z3" s="3" t="s">
        <v>97</v>
      </c>
      <c r="AA3" s="3" t="s">
        <v>104</v>
      </c>
      <c r="AB3" s="3" t="s">
        <v>99</v>
      </c>
      <c r="AC3" s="3" t="s">
        <v>100</v>
      </c>
      <c r="AD3" s="19">
        <v>110.0</v>
      </c>
      <c r="AE3" s="4">
        <v>4.0</v>
      </c>
      <c r="AF3" s="4">
        <v>4.0</v>
      </c>
      <c r="AG3" s="4">
        <v>4.0</v>
      </c>
      <c r="AH3" s="4">
        <v>4.0</v>
      </c>
      <c r="AI3" s="4">
        <v>3.0</v>
      </c>
      <c r="AJ3" s="4">
        <v>4.0</v>
      </c>
      <c r="AK3" s="4">
        <v>5.0</v>
      </c>
      <c r="AL3" s="4">
        <v>4.0</v>
      </c>
      <c r="AM3" s="4">
        <v>4.0</v>
      </c>
      <c r="AN3" s="4">
        <v>4.0</v>
      </c>
      <c r="AO3" s="20"/>
      <c r="AP3" s="21" t="s">
        <v>101</v>
      </c>
    </row>
    <row r="4" ht="22.5" customHeight="1">
      <c r="A4" s="6">
        <v>46173.49249521991</v>
      </c>
      <c r="B4" s="7" t="s">
        <v>35</v>
      </c>
      <c r="C4" s="7" t="s">
        <v>105</v>
      </c>
      <c r="D4" s="8">
        <v>21.0</v>
      </c>
      <c r="E4" s="7" t="s">
        <v>103</v>
      </c>
      <c r="F4" s="8">
        <v>5.0</v>
      </c>
      <c r="G4" s="8">
        <v>5.0</v>
      </c>
      <c r="H4" s="8">
        <v>5.0</v>
      </c>
      <c r="I4" s="8">
        <v>2.0</v>
      </c>
      <c r="J4" s="8">
        <v>5.0</v>
      </c>
      <c r="K4" s="8">
        <v>5.0</v>
      </c>
      <c r="L4" s="8">
        <v>5.0</v>
      </c>
      <c r="M4" s="8">
        <v>4.0</v>
      </c>
      <c r="N4" s="8">
        <v>3.0</v>
      </c>
      <c r="O4" s="8">
        <v>3.0</v>
      </c>
      <c r="P4" s="8">
        <v>5.0</v>
      </c>
      <c r="Q4" s="8">
        <v>5.0</v>
      </c>
      <c r="R4" s="7" t="s">
        <v>89</v>
      </c>
      <c r="S4" s="7" t="s">
        <v>90</v>
      </c>
      <c r="T4" s="7" t="s">
        <v>91</v>
      </c>
      <c r="U4" s="7" t="s">
        <v>92</v>
      </c>
      <c r="V4" s="7" t="s">
        <v>93</v>
      </c>
      <c r="W4" s="7" t="s">
        <v>106</v>
      </c>
      <c r="X4" s="7" t="s">
        <v>95</v>
      </c>
      <c r="Y4" s="7" t="s">
        <v>96</v>
      </c>
      <c r="Z4" s="7" t="s">
        <v>97</v>
      </c>
      <c r="AA4" s="7" t="s">
        <v>104</v>
      </c>
      <c r="AB4" s="7" t="s">
        <v>99</v>
      </c>
      <c r="AC4" s="7" t="s">
        <v>100</v>
      </c>
      <c r="AD4" s="16">
        <v>100.0</v>
      </c>
      <c r="AE4" s="8">
        <v>4.0</v>
      </c>
      <c r="AF4" s="8">
        <v>4.0</v>
      </c>
      <c r="AG4" s="8">
        <v>5.0</v>
      </c>
      <c r="AH4" s="8">
        <v>2.0</v>
      </c>
      <c r="AI4" s="8">
        <v>3.0</v>
      </c>
      <c r="AJ4" s="8">
        <v>4.0</v>
      </c>
      <c r="AK4" s="8">
        <v>4.0</v>
      </c>
      <c r="AL4" s="8">
        <v>4.0</v>
      </c>
      <c r="AM4" s="8">
        <v>3.0</v>
      </c>
      <c r="AN4" s="8">
        <v>4.0</v>
      </c>
      <c r="AO4" s="7" t="s">
        <v>107</v>
      </c>
      <c r="AP4" s="18" t="s">
        <v>101</v>
      </c>
    </row>
    <row r="5" ht="22.5" customHeight="1">
      <c r="A5" s="2">
        <v>46173.50085747685</v>
      </c>
      <c r="B5" s="3" t="s">
        <v>108</v>
      </c>
      <c r="C5" s="3" t="s">
        <v>87</v>
      </c>
      <c r="D5" s="4">
        <v>21.0</v>
      </c>
      <c r="E5" s="3" t="s">
        <v>88</v>
      </c>
      <c r="F5" s="4">
        <v>2.0</v>
      </c>
      <c r="G5" s="4">
        <v>2.0</v>
      </c>
      <c r="H5" s="4">
        <v>5.0</v>
      </c>
      <c r="I5" s="4">
        <v>5.0</v>
      </c>
      <c r="J5" s="4">
        <v>3.0</v>
      </c>
      <c r="K5" s="4">
        <v>4.0</v>
      </c>
      <c r="L5" s="4">
        <v>5.0</v>
      </c>
      <c r="M5" s="4">
        <v>5.0</v>
      </c>
      <c r="N5" s="4">
        <v>5.0</v>
      </c>
      <c r="O5" s="4">
        <v>5.0</v>
      </c>
      <c r="P5" s="4">
        <v>5.0</v>
      </c>
      <c r="Q5" s="4">
        <v>5.0</v>
      </c>
      <c r="R5" s="3" t="s">
        <v>89</v>
      </c>
      <c r="S5" s="3" t="s">
        <v>90</v>
      </c>
      <c r="T5" s="3" t="s">
        <v>91</v>
      </c>
      <c r="U5" s="3" t="s">
        <v>92</v>
      </c>
      <c r="V5" s="3" t="s">
        <v>109</v>
      </c>
      <c r="W5" s="3" t="s">
        <v>94</v>
      </c>
      <c r="X5" s="3" t="s">
        <v>95</v>
      </c>
      <c r="Y5" s="3" t="s">
        <v>110</v>
      </c>
      <c r="Z5" s="3" t="s">
        <v>111</v>
      </c>
      <c r="AA5" s="3" t="s">
        <v>98</v>
      </c>
      <c r="AB5" s="3" t="s">
        <v>99</v>
      </c>
      <c r="AC5" s="3" t="s">
        <v>112</v>
      </c>
      <c r="AD5" s="19">
        <v>80.0</v>
      </c>
      <c r="AE5" s="4">
        <v>4.0</v>
      </c>
      <c r="AF5" s="4">
        <v>4.0</v>
      </c>
      <c r="AG5" s="4">
        <v>3.0</v>
      </c>
      <c r="AH5" s="4">
        <v>5.0</v>
      </c>
      <c r="AI5" s="4">
        <v>3.0</v>
      </c>
      <c r="AJ5" s="4">
        <v>3.0</v>
      </c>
      <c r="AK5" s="4">
        <v>5.0</v>
      </c>
      <c r="AL5" s="4">
        <v>4.0</v>
      </c>
      <c r="AM5" s="4">
        <v>4.0</v>
      </c>
      <c r="AN5" s="4">
        <v>5.0</v>
      </c>
      <c r="AO5" s="3" t="s">
        <v>113</v>
      </c>
      <c r="AP5" s="21" t="s">
        <v>101</v>
      </c>
    </row>
    <row r="6" ht="22.5" customHeight="1">
      <c r="A6" s="6">
        <v>46173.67059635417</v>
      </c>
      <c r="B6" s="7" t="s">
        <v>38</v>
      </c>
      <c r="C6" s="7" t="s">
        <v>87</v>
      </c>
      <c r="D6" s="8">
        <v>22.0</v>
      </c>
      <c r="E6" s="7" t="s">
        <v>114</v>
      </c>
      <c r="F6" s="8">
        <v>4.0</v>
      </c>
      <c r="G6" s="8">
        <v>5.0</v>
      </c>
      <c r="H6" s="8">
        <v>5.0</v>
      </c>
      <c r="I6" s="8">
        <v>4.0</v>
      </c>
      <c r="J6" s="8">
        <v>4.0</v>
      </c>
      <c r="K6" s="8">
        <v>4.0</v>
      </c>
      <c r="L6" s="8">
        <v>5.0</v>
      </c>
      <c r="M6" s="8">
        <v>5.0</v>
      </c>
      <c r="N6" s="8">
        <v>2.0</v>
      </c>
      <c r="O6" s="8">
        <v>2.0</v>
      </c>
      <c r="P6" s="8">
        <v>5.0</v>
      </c>
      <c r="Q6" s="8">
        <v>5.0</v>
      </c>
      <c r="R6" s="7" t="s">
        <v>89</v>
      </c>
      <c r="S6" s="7" t="s">
        <v>90</v>
      </c>
      <c r="T6" s="7" t="s">
        <v>91</v>
      </c>
      <c r="U6" s="7" t="s">
        <v>92</v>
      </c>
      <c r="V6" s="7" t="s">
        <v>93</v>
      </c>
      <c r="W6" s="7" t="s">
        <v>94</v>
      </c>
      <c r="X6" s="7" t="s">
        <v>95</v>
      </c>
      <c r="Y6" s="7" t="s">
        <v>110</v>
      </c>
      <c r="Z6" s="7" t="s">
        <v>97</v>
      </c>
      <c r="AA6" s="7" t="s">
        <v>104</v>
      </c>
      <c r="AB6" s="7" t="s">
        <v>99</v>
      </c>
      <c r="AC6" s="7" t="s">
        <v>100</v>
      </c>
      <c r="AD6" s="16">
        <v>100.0</v>
      </c>
      <c r="AE6" s="8">
        <v>5.0</v>
      </c>
      <c r="AF6" s="8">
        <v>5.0</v>
      </c>
      <c r="AG6" s="8">
        <v>5.0</v>
      </c>
      <c r="AH6" s="8">
        <v>5.0</v>
      </c>
      <c r="AI6" s="8">
        <v>5.0</v>
      </c>
      <c r="AJ6" s="8">
        <v>5.0</v>
      </c>
      <c r="AK6" s="8">
        <v>4.0</v>
      </c>
      <c r="AL6" s="8">
        <v>5.0</v>
      </c>
      <c r="AM6" s="8">
        <v>5.0</v>
      </c>
      <c r="AN6" s="8">
        <v>5.0</v>
      </c>
      <c r="AO6" s="7" t="s">
        <v>115</v>
      </c>
      <c r="AP6" s="18" t="s">
        <v>101</v>
      </c>
    </row>
    <row r="7" ht="22.5" customHeight="1">
      <c r="A7" s="2">
        <v>46173.7132825</v>
      </c>
      <c r="B7" s="3" t="s">
        <v>40</v>
      </c>
      <c r="C7" s="3" t="s">
        <v>87</v>
      </c>
      <c r="D7" s="4">
        <v>23.0</v>
      </c>
      <c r="E7" s="3" t="s">
        <v>103</v>
      </c>
      <c r="F7" s="4">
        <v>5.0</v>
      </c>
      <c r="G7" s="4">
        <v>5.0</v>
      </c>
      <c r="H7" s="4">
        <v>5.0</v>
      </c>
      <c r="I7" s="4">
        <v>5.0</v>
      </c>
      <c r="J7" s="4">
        <v>5.0</v>
      </c>
      <c r="K7" s="4">
        <v>5.0</v>
      </c>
      <c r="L7" s="4">
        <v>5.0</v>
      </c>
      <c r="M7" s="4">
        <v>4.0</v>
      </c>
      <c r="N7" s="4">
        <v>3.0</v>
      </c>
      <c r="O7" s="4">
        <v>3.0</v>
      </c>
      <c r="P7" s="4">
        <v>4.0</v>
      </c>
      <c r="Q7" s="4">
        <v>5.0</v>
      </c>
      <c r="R7" s="3" t="s">
        <v>89</v>
      </c>
      <c r="S7" s="3" t="s">
        <v>90</v>
      </c>
      <c r="T7" s="3" t="s">
        <v>91</v>
      </c>
      <c r="U7" s="3" t="s">
        <v>92</v>
      </c>
      <c r="V7" s="3" t="s">
        <v>93</v>
      </c>
      <c r="W7" s="3" t="s">
        <v>94</v>
      </c>
      <c r="X7" s="3" t="s">
        <v>95</v>
      </c>
      <c r="Y7" s="3" t="s">
        <v>96</v>
      </c>
      <c r="Z7" s="3" t="s">
        <v>97</v>
      </c>
      <c r="AA7" s="3" t="s">
        <v>104</v>
      </c>
      <c r="AB7" s="3" t="s">
        <v>99</v>
      </c>
      <c r="AC7" s="3" t="s">
        <v>100</v>
      </c>
      <c r="AD7" s="19">
        <v>110.0</v>
      </c>
      <c r="AE7" s="4">
        <v>2.0</v>
      </c>
      <c r="AF7" s="4">
        <v>3.0</v>
      </c>
      <c r="AG7" s="4">
        <v>2.0</v>
      </c>
      <c r="AH7" s="4">
        <v>2.0</v>
      </c>
      <c r="AI7" s="4">
        <v>2.0</v>
      </c>
      <c r="AJ7" s="4">
        <v>2.0</v>
      </c>
      <c r="AK7" s="4">
        <v>2.0</v>
      </c>
      <c r="AL7" s="4">
        <v>5.0</v>
      </c>
      <c r="AM7" s="4">
        <v>3.0</v>
      </c>
      <c r="AN7" s="4">
        <v>3.0</v>
      </c>
      <c r="AO7" s="3" t="s">
        <v>116</v>
      </c>
      <c r="AP7" s="21" t="s">
        <v>101</v>
      </c>
    </row>
    <row r="8" ht="22.5" customHeight="1">
      <c r="A8" s="6">
        <v>46173.76425043981</v>
      </c>
      <c r="B8" s="7" t="s">
        <v>44</v>
      </c>
      <c r="C8" s="7" t="s">
        <v>87</v>
      </c>
      <c r="D8" s="8">
        <v>21.0</v>
      </c>
      <c r="E8" s="7" t="s">
        <v>117</v>
      </c>
      <c r="F8" s="8">
        <v>5.0</v>
      </c>
      <c r="G8" s="8">
        <v>5.0</v>
      </c>
      <c r="H8" s="8">
        <v>4.0</v>
      </c>
      <c r="I8" s="8">
        <v>3.0</v>
      </c>
      <c r="J8" s="8">
        <v>5.0</v>
      </c>
      <c r="K8" s="8">
        <v>5.0</v>
      </c>
      <c r="L8" s="8">
        <v>5.0</v>
      </c>
      <c r="M8" s="8">
        <v>5.0</v>
      </c>
      <c r="N8" s="8">
        <v>1.0</v>
      </c>
      <c r="O8" s="8">
        <v>5.0</v>
      </c>
      <c r="P8" s="8">
        <v>5.0</v>
      </c>
      <c r="Q8" s="8">
        <v>4.0</v>
      </c>
      <c r="R8" s="7" t="s">
        <v>89</v>
      </c>
      <c r="S8" s="7" t="s">
        <v>90</v>
      </c>
      <c r="T8" s="7" t="s">
        <v>91</v>
      </c>
      <c r="U8" s="7" t="s">
        <v>92</v>
      </c>
      <c r="V8" s="7" t="s">
        <v>93</v>
      </c>
      <c r="W8" s="7" t="s">
        <v>94</v>
      </c>
      <c r="X8" s="7" t="s">
        <v>95</v>
      </c>
      <c r="Y8" s="7" t="s">
        <v>96</v>
      </c>
      <c r="Z8" s="7" t="s">
        <v>97</v>
      </c>
      <c r="AA8" s="7" t="s">
        <v>98</v>
      </c>
      <c r="AB8" s="7" t="s">
        <v>99</v>
      </c>
      <c r="AC8" s="7" t="s">
        <v>100</v>
      </c>
      <c r="AD8" s="16">
        <v>120.0</v>
      </c>
      <c r="AE8" s="8">
        <v>2.0</v>
      </c>
      <c r="AF8" s="8">
        <v>5.0</v>
      </c>
      <c r="AG8" s="8">
        <v>3.0</v>
      </c>
      <c r="AH8" s="8">
        <v>5.0</v>
      </c>
      <c r="AI8" s="8">
        <v>5.0</v>
      </c>
      <c r="AJ8" s="8">
        <v>5.0</v>
      </c>
      <c r="AK8" s="8">
        <v>5.0</v>
      </c>
      <c r="AL8" s="8">
        <v>4.0</v>
      </c>
      <c r="AM8" s="8">
        <v>5.0</v>
      </c>
      <c r="AN8" s="8">
        <v>5.0</v>
      </c>
      <c r="AO8" s="7" t="s">
        <v>118</v>
      </c>
      <c r="AP8" s="18" t="s">
        <v>101</v>
      </c>
    </row>
    <row r="9" ht="22.5" customHeight="1">
      <c r="A9" s="2">
        <v>46173.76483467592</v>
      </c>
      <c r="B9" s="3" t="s">
        <v>45</v>
      </c>
      <c r="C9" s="3" t="s">
        <v>87</v>
      </c>
      <c r="D9" s="4">
        <v>67.0</v>
      </c>
      <c r="E9" s="3" t="s">
        <v>117</v>
      </c>
      <c r="F9" s="4">
        <v>5.0</v>
      </c>
      <c r="G9" s="4">
        <v>5.0</v>
      </c>
      <c r="H9" s="4">
        <v>5.0</v>
      </c>
      <c r="I9" s="4">
        <v>3.0</v>
      </c>
      <c r="J9" s="4">
        <v>3.0</v>
      </c>
      <c r="K9" s="4">
        <v>4.0</v>
      </c>
      <c r="L9" s="4">
        <v>5.0</v>
      </c>
      <c r="M9" s="4">
        <v>5.0</v>
      </c>
      <c r="N9" s="4">
        <v>1.0</v>
      </c>
      <c r="O9" s="4">
        <v>2.0</v>
      </c>
      <c r="P9" s="4">
        <v>3.0</v>
      </c>
      <c r="Q9" s="4">
        <v>4.0</v>
      </c>
      <c r="R9" s="3" t="s">
        <v>89</v>
      </c>
      <c r="S9" s="3" t="s">
        <v>90</v>
      </c>
      <c r="T9" s="3" t="s">
        <v>91</v>
      </c>
      <c r="U9" s="3" t="s">
        <v>92</v>
      </c>
      <c r="V9" s="3" t="s">
        <v>93</v>
      </c>
      <c r="W9" s="3" t="s">
        <v>94</v>
      </c>
      <c r="X9" s="3" t="s">
        <v>95</v>
      </c>
      <c r="Y9" s="3" t="s">
        <v>110</v>
      </c>
      <c r="Z9" s="3" t="s">
        <v>97</v>
      </c>
      <c r="AA9" s="3" t="s">
        <v>98</v>
      </c>
      <c r="AB9" s="3" t="s">
        <v>99</v>
      </c>
      <c r="AC9" s="3" t="s">
        <v>100</v>
      </c>
      <c r="AD9" s="19">
        <v>110.0</v>
      </c>
      <c r="AE9" s="4">
        <v>5.0</v>
      </c>
      <c r="AF9" s="4">
        <v>5.0</v>
      </c>
      <c r="AG9" s="4">
        <v>5.0</v>
      </c>
      <c r="AH9" s="4">
        <v>3.0</v>
      </c>
      <c r="AI9" s="4">
        <v>5.0</v>
      </c>
      <c r="AJ9" s="4">
        <v>5.0</v>
      </c>
      <c r="AK9" s="4">
        <v>5.0</v>
      </c>
      <c r="AL9" s="4">
        <v>5.0</v>
      </c>
      <c r="AM9" s="4">
        <v>5.0</v>
      </c>
      <c r="AN9" s="4">
        <v>5.0</v>
      </c>
      <c r="AO9" s="3" t="s">
        <v>119</v>
      </c>
      <c r="AP9" s="21" t="s">
        <v>101</v>
      </c>
    </row>
    <row r="10" ht="22.5" customHeight="1">
      <c r="A10" s="6">
        <v>46173.76883453704</v>
      </c>
      <c r="B10" s="7" t="s">
        <v>47</v>
      </c>
      <c r="C10" s="7" t="s">
        <v>87</v>
      </c>
      <c r="D10" s="8">
        <v>22.0</v>
      </c>
      <c r="E10" s="7" t="s">
        <v>103</v>
      </c>
      <c r="F10" s="8">
        <v>5.0</v>
      </c>
      <c r="G10" s="8">
        <v>5.0</v>
      </c>
      <c r="H10" s="8">
        <v>5.0</v>
      </c>
      <c r="I10" s="8">
        <v>4.0</v>
      </c>
      <c r="J10" s="8">
        <v>3.0</v>
      </c>
      <c r="K10" s="8">
        <v>5.0</v>
      </c>
      <c r="L10" s="8">
        <v>5.0</v>
      </c>
      <c r="M10" s="8">
        <v>5.0</v>
      </c>
      <c r="N10" s="8">
        <v>2.0</v>
      </c>
      <c r="O10" s="8">
        <v>1.0</v>
      </c>
      <c r="P10" s="8">
        <v>3.0</v>
      </c>
      <c r="Q10" s="8">
        <v>5.0</v>
      </c>
      <c r="R10" s="7" t="s">
        <v>89</v>
      </c>
      <c r="S10" s="7" t="s">
        <v>90</v>
      </c>
      <c r="T10" s="7" t="s">
        <v>91</v>
      </c>
      <c r="U10" s="7" t="s">
        <v>92</v>
      </c>
      <c r="V10" s="7" t="s">
        <v>93</v>
      </c>
      <c r="W10" s="7" t="s">
        <v>94</v>
      </c>
      <c r="X10" s="7" t="s">
        <v>95</v>
      </c>
      <c r="Y10" s="7" t="s">
        <v>96</v>
      </c>
      <c r="Z10" s="7" t="s">
        <v>97</v>
      </c>
      <c r="AA10" s="7" t="s">
        <v>98</v>
      </c>
      <c r="AB10" s="7" t="s">
        <v>99</v>
      </c>
      <c r="AC10" s="7" t="s">
        <v>100</v>
      </c>
      <c r="AD10" s="16">
        <v>120.0</v>
      </c>
      <c r="AE10" s="8">
        <v>4.0</v>
      </c>
      <c r="AF10" s="8">
        <v>5.0</v>
      </c>
      <c r="AG10" s="8">
        <v>4.0</v>
      </c>
      <c r="AH10" s="8">
        <v>5.0</v>
      </c>
      <c r="AI10" s="8">
        <v>5.0</v>
      </c>
      <c r="AJ10" s="8">
        <v>5.0</v>
      </c>
      <c r="AK10" s="8">
        <v>5.0</v>
      </c>
      <c r="AL10" s="8">
        <v>5.0</v>
      </c>
      <c r="AM10" s="8">
        <v>5.0</v>
      </c>
      <c r="AN10" s="8">
        <v>5.0</v>
      </c>
      <c r="AO10" s="7" t="s">
        <v>120</v>
      </c>
      <c r="AP10" s="18" t="s">
        <v>101</v>
      </c>
    </row>
    <row r="11" ht="22.5" customHeight="1">
      <c r="A11" s="2">
        <v>46173.77518502314</v>
      </c>
      <c r="B11" s="3" t="s">
        <v>48</v>
      </c>
      <c r="C11" s="3" t="s">
        <v>87</v>
      </c>
      <c r="D11" s="4">
        <v>18.0</v>
      </c>
      <c r="E11" s="3" t="s">
        <v>88</v>
      </c>
      <c r="F11" s="4">
        <v>5.0</v>
      </c>
      <c r="G11" s="4">
        <v>5.0</v>
      </c>
      <c r="H11" s="4">
        <v>5.0</v>
      </c>
      <c r="I11" s="4">
        <v>5.0</v>
      </c>
      <c r="J11" s="4">
        <v>5.0</v>
      </c>
      <c r="K11" s="4">
        <v>5.0</v>
      </c>
      <c r="L11" s="4">
        <v>5.0</v>
      </c>
      <c r="M11" s="4">
        <v>5.0</v>
      </c>
      <c r="N11" s="4">
        <v>5.0</v>
      </c>
      <c r="O11" s="4">
        <v>5.0</v>
      </c>
      <c r="P11" s="4">
        <v>5.0</v>
      </c>
      <c r="Q11" s="4">
        <v>5.0</v>
      </c>
      <c r="R11" s="3" t="s">
        <v>89</v>
      </c>
      <c r="S11" s="3" t="s">
        <v>90</v>
      </c>
      <c r="T11" s="3" t="s">
        <v>91</v>
      </c>
      <c r="U11" s="3" t="s">
        <v>92</v>
      </c>
      <c r="V11" s="3" t="s">
        <v>93</v>
      </c>
      <c r="W11" s="3" t="s">
        <v>94</v>
      </c>
      <c r="X11" s="3" t="s">
        <v>95</v>
      </c>
      <c r="Y11" s="3" t="s">
        <v>96</v>
      </c>
      <c r="Z11" s="3" t="s">
        <v>97</v>
      </c>
      <c r="AA11" s="3" t="s">
        <v>104</v>
      </c>
      <c r="AB11" s="3" t="s">
        <v>99</v>
      </c>
      <c r="AC11" s="3" t="s">
        <v>100</v>
      </c>
      <c r="AD11" s="19">
        <v>110.0</v>
      </c>
      <c r="AE11" s="4">
        <v>3.0</v>
      </c>
      <c r="AF11" s="4">
        <v>5.0</v>
      </c>
      <c r="AG11" s="4">
        <v>5.0</v>
      </c>
      <c r="AH11" s="4">
        <v>4.0</v>
      </c>
      <c r="AI11" s="4">
        <v>3.0</v>
      </c>
      <c r="AJ11" s="4">
        <v>5.0</v>
      </c>
      <c r="AK11" s="4">
        <v>5.0</v>
      </c>
      <c r="AL11" s="4">
        <v>5.0</v>
      </c>
      <c r="AM11" s="4">
        <v>5.0</v>
      </c>
      <c r="AN11" s="4">
        <v>5.0</v>
      </c>
      <c r="AO11" s="3" t="s">
        <v>121</v>
      </c>
      <c r="AP11" s="21" t="s">
        <v>101</v>
      </c>
    </row>
    <row r="12" ht="22.5" customHeight="1">
      <c r="A12" s="6">
        <v>46173.78306570602</v>
      </c>
      <c r="B12" s="7" t="s">
        <v>52</v>
      </c>
      <c r="C12" s="7" t="s">
        <v>87</v>
      </c>
      <c r="D12" s="8">
        <v>17.0</v>
      </c>
      <c r="E12" s="7" t="s">
        <v>117</v>
      </c>
      <c r="F12" s="8">
        <v>5.0</v>
      </c>
      <c r="G12" s="8">
        <v>5.0</v>
      </c>
      <c r="H12" s="8">
        <v>4.0</v>
      </c>
      <c r="I12" s="8">
        <v>3.0</v>
      </c>
      <c r="J12" s="8">
        <v>3.0</v>
      </c>
      <c r="K12" s="8">
        <v>4.0</v>
      </c>
      <c r="L12" s="8">
        <v>3.0</v>
      </c>
      <c r="M12" s="8">
        <v>3.0</v>
      </c>
      <c r="N12" s="8">
        <v>3.0</v>
      </c>
      <c r="O12" s="8">
        <v>3.0</v>
      </c>
      <c r="P12" s="8">
        <v>3.0</v>
      </c>
      <c r="Q12" s="8">
        <v>3.0</v>
      </c>
      <c r="R12" s="7" t="s">
        <v>89</v>
      </c>
      <c r="S12" s="7" t="s">
        <v>90</v>
      </c>
      <c r="T12" s="7" t="s">
        <v>91</v>
      </c>
      <c r="U12" s="7" t="s">
        <v>92</v>
      </c>
      <c r="V12" s="7" t="s">
        <v>93</v>
      </c>
      <c r="W12" s="7" t="s">
        <v>94</v>
      </c>
      <c r="X12" s="7" t="s">
        <v>95</v>
      </c>
      <c r="Y12" s="7" t="s">
        <v>96</v>
      </c>
      <c r="Z12" s="7" t="s">
        <v>97</v>
      </c>
      <c r="AA12" s="7" t="s">
        <v>104</v>
      </c>
      <c r="AB12" s="7" t="s">
        <v>99</v>
      </c>
      <c r="AC12" s="7" t="s">
        <v>100</v>
      </c>
      <c r="AD12" s="16">
        <v>110.0</v>
      </c>
      <c r="AE12" s="8">
        <v>3.0</v>
      </c>
      <c r="AF12" s="8">
        <v>3.0</v>
      </c>
      <c r="AG12" s="8">
        <v>5.0</v>
      </c>
      <c r="AH12" s="8">
        <v>3.0</v>
      </c>
      <c r="AI12" s="8">
        <v>4.0</v>
      </c>
      <c r="AJ12" s="8">
        <v>4.0</v>
      </c>
      <c r="AK12" s="8">
        <v>5.0</v>
      </c>
      <c r="AL12" s="8">
        <v>5.0</v>
      </c>
      <c r="AM12" s="8">
        <v>5.0</v>
      </c>
      <c r="AN12" s="8">
        <v>5.0</v>
      </c>
      <c r="AO12" s="7" t="s">
        <v>122</v>
      </c>
      <c r="AP12" s="18" t="s">
        <v>101</v>
      </c>
    </row>
    <row r="13" ht="22.5" customHeight="1">
      <c r="A13" s="2">
        <v>46173.81402309028</v>
      </c>
      <c r="B13" s="3" t="s">
        <v>49</v>
      </c>
      <c r="C13" s="3" t="s">
        <v>87</v>
      </c>
      <c r="D13" s="4">
        <v>23.0</v>
      </c>
      <c r="E13" s="3" t="s">
        <v>123</v>
      </c>
      <c r="F13" s="4">
        <v>3.0</v>
      </c>
      <c r="G13" s="4">
        <v>5.0</v>
      </c>
      <c r="H13" s="4">
        <v>3.0</v>
      </c>
      <c r="I13" s="4">
        <v>5.0</v>
      </c>
      <c r="J13" s="4">
        <v>5.0</v>
      </c>
      <c r="K13" s="4">
        <v>4.0</v>
      </c>
      <c r="L13" s="4">
        <v>3.0</v>
      </c>
      <c r="M13" s="4">
        <v>4.0</v>
      </c>
      <c r="N13" s="4">
        <v>5.0</v>
      </c>
      <c r="O13" s="4">
        <v>5.0</v>
      </c>
      <c r="P13" s="4">
        <v>5.0</v>
      </c>
      <c r="Q13" s="4">
        <v>5.0</v>
      </c>
      <c r="R13" s="22" t="s">
        <v>89</v>
      </c>
      <c r="S13" s="22" t="s">
        <v>90</v>
      </c>
      <c r="T13" s="22" t="s">
        <v>91</v>
      </c>
      <c r="U13" s="22" t="s">
        <v>92</v>
      </c>
      <c r="V13" s="22" t="s">
        <v>93</v>
      </c>
      <c r="W13" s="22" t="s">
        <v>106</v>
      </c>
      <c r="X13" s="22" t="s">
        <v>95</v>
      </c>
      <c r="Y13" s="22" t="s">
        <v>96</v>
      </c>
      <c r="Z13" s="22" t="s">
        <v>111</v>
      </c>
      <c r="AA13" s="22" t="s">
        <v>124</v>
      </c>
      <c r="AB13" s="22" t="s">
        <v>99</v>
      </c>
      <c r="AC13" s="22" t="s">
        <v>112</v>
      </c>
      <c r="AD13" s="23">
        <v>80.0</v>
      </c>
      <c r="AE13" s="4">
        <v>2.0</v>
      </c>
      <c r="AF13" s="4">
        <v>2.0</v>
      </c>
      <c r="AG13" s="4">
        <v>3.0</v>
      </c>
      <c r="AH13" s="4">
        <v>1.0</v>
      </c>
      <c r="AI13" s="4">
        <v>1.0</v>
      </c>
      <c r="AJ13" s="4">
        <v>1.0</v>
      </c>
      <c r="AK13" s="4">
        <v>4.0</v>
      </c>
      <c r="AL13" s="4">
        <v>3.0</v>
      </c>
      <c r="AM13" s="4">
        <v>3.0</v>
      </c>
      <c r="AN13" s="4">
        <v>2.0</v>
      </c>
      <c r="AO13" s="3" t="s">
        <v>125</v>
      </c>
      <c r="AP13" s="21" t="s">
        <v>101</v>
      </c>
    </row>
    <row r="14" ht="22.5" customHeight="1">
      <c r="A14" s="6">
        <v>46173.841799201386</v>
      </c>
      <c r="B14" s="7" t="s">
        <v>43</v>
      </c>
      <c r="C14" s="7" t="s">
        <v>87</v>
      </c>
      <c r="D14" s="8">
        <v>25.0</v>
      </c>
      <c r="E14" s="7" t="s">
        <v>126</v>
      </c>
      <c r="F14" s="8">
        <v>5.0</v>
      </c>
      <c r="G14" s="8">
        <v>5.0</v>
      </c>
      <c r="H14" s="8">
        <v>4.0</v>
      </c>
      <c r="I14" s="8">
        <v>3.0</v>
      </c>
      <c r="J14" s="8">
        <v>4.0</v>
      </c>
      <c r="K14" s="8">
        <v>5.0</v>
      </c>
      <c r="L14" s="8">
        <v>5.0</v>
      </c>
      <c r="M14" s="8">
        <v>4.0</v>
      </c>
      <c r="N14" s="8">
        <v>1.0</v>
      </c>
      <c r="O14" s="8">
        <v>2.0</v>
      </c>
      <c r="P14" s="8">
        <v>5.0</v>
      </c>
      <c r="Q14" s="8">
        <v>5.0</v>
      </c>
      <c r="R14" s="7" t="s">
        <v>89</v>
      </c>
      <c r="S14" s="7" t="s">
        <v>90</v>
      </c>
      <c r="T14" s="7" t="s">
        <v>91</v>
      </c>
      <c r="U14" s="7" t="s">
        <v>92</v>
      </c>
      <c r="V14" s="7" t="s">
        <v>93</v>
      </c>
      <c r="W14" s="7" t="s">
        <v>94</v>
      </c>
      <c r="X14" s="7" t="s">
        <v>95</v>
      </c>
      <c r="Y14" s="7" t="s">
        <v>96</v>
      </c>
      <c r="Z14" s="7" t="s">
        <v>97</v>
      </c>
      <c r="AA14" s="7" t="s">
        <v>98</v>
      </c>
      <c r="AB14" s="7" t="s">
        <v>99</v>
      </c>
      <c r="AC14" s="7" t="s">
        <v>100</v>
      </c>
      <c r="AD14" s="16">
        <v>120.0</v>
      </c>
      <c r="AE14" s="8">
        <v>2.0</v>
      </c>
      <c r="AF14" s="8">
        <v>5.0</v>
      </c>
      <c r="AG14" s="8">
        <v>4.0</v>
      </c>
      <c r="AH14" s="8">
        <v>3.0</v>
      </c>
      <c r="AI14" s="8">
        <v>3.0</v>
      </c>
      <c r="AJ14" s="8">
        <v>3.0</v>
      </c>
      <c r="AK14" s="8">
        <v>5.0</v>
      </c>
      <c r="AL14" s="8">
        <v>5.0</v>
      </c>
      <c r="AM14" s="8">
        <v>5.0</v>
      </c>
      <c r="AN14" s="8">
        <v>4.0</v>
      </c>
      <c r="AO14" s="7" t="s">
        <v>127</v>
      </c>
      <c r="AP14" s="18" t="s">
        <v>101</v>
      </c>
    </row>
    <row r="15" ht="22.5" customHeight="1">
      <c r="A15" s="2">
        <v>46173.95180076388</v>
      </c>
      <c r="B15" s="3" t="s">
        <v>128</v>
      </c>
      <c r="C15" s="3" t="s">
        <v>105</v>
      </c>
      <c r="D15" s="3" t="s">
        <v>129</v>
      </c>
      <c r="E15" s="3" t="s">
        <v>103</v>
      </c>
      <c r="F15" s="4">
        <v>5.0</v>
      </c>
      <c r="G15" s="4">
        <v>4.0</v>
      </c>
      <c r="H15" s="4">
        <v>4.0</v>
      </c>
      <c r="I15" s="4">
        <v>5.0</v>
      </c>
      <c r="J15" s="4">
        <v>3.0</v>
      </c>
      <c r="K15" s="4">
        <v>3.0</v>
      </c>
      <c r="L15" s="4">
        <v>3.0</v>
      </c>
      <c r="M15" s="4">
        <v>4.0</v>
      </c>
      <c r="N15" s="4">
        <v>3.0</v>
      </c>
      <c r="O15" s="4">
        <v>3.0</v>
      </c>
      <c r="P15" s="4">
        <v>3.0</v>
      </c>
      <c r="Q15" s="4">
        <v>5.0</v>
      </c>
      <c r="R15" s="3" t="s">
        <v>89</v>
      </c>
      <c r="S15" s="3" t="s">
        <v>90</v>
      </c>
      <c r="T15" s="3" t="s">
        <v>91</v>
      </c>
      <c r="U15" s="3" t="s">
        <v>92</v>
      </c>
      <c r="V15" s="3" t="s">
        <v>93</v>
      </c>
      <c r="W15" s="3" t="s">
        <v>94</v>
      </c>
      <c r="X15" s="3" t="s">
        <v>95</v>
      </c>
      <c r="Y15" s="3" t="s">
        <v>96</v>
      </c>
      <c r="Z15" s="3" t="s">
        <v>97</v>
      </c>
      <c r="AA15" s="3" t="s">
        <v>98</v>
      </c>
      <c r="AB15" s="3" t="s">
        <v>99</v>
      </c>
      <c r="AC15" s="3" t="s">
        <v>100</v>
      </c>
      <c r="AD15" s="19">
        <v>120.0</v>
      </c>
      <c r="AE15" s="4">
        <v>4.0</v>
      </c>
      <c r="AF15" s="4">
        <v>4.0</v>
      </c>
      <c r="AG15" s="4">
        <v>4.0</v>
      </c>
      <c r="AH15" s="4">
        <v>4.0</v>
      </c>
      <c r="AI15" s="4">
        <v>3.0</v>
      </c>
      <c r="AJ15" s="4">
        <v>4.0</v>
      </c>
      <c r="AK15" s="4">
        <v>4.0</v>
      </c>
      <c r="AL15" s="4">
        <v>4.0</v>
      </c>
      <c r="AM15" s="4">
        <v>4.0</v>
      </c>
      <c r="AN15" s="4">
        <v>5.0</v>
      </c>
      <c r="AO15" s="20"/>
      <c r="AP15" s="21" t="s">
        <v>101</v>
      </c>
    </row>
    <row r="16" ht="22.5" customHeight="1">
      <c r="A16" s="24">
        <v>46173.45992460648</v>
      </c>
      <c r="B16" s="25" t="s">
        <v>130</v>
      </c>
      <c r="C16" s="25" t="s">
        <v>87</v>
      </c>
      <c r="D16" s="26">
        <v>22.0</v>
      </c>
      <c r="E16" s="25" t="s">
        <v>103</v>
      </c>
      <c r="F16" s="26">
        <v>4.0</v>
      </c>
      <c r="G16" s="26">
        <v>5.0</v>
      </c>
      <c r="H16" s="26">
        <v>4.0</v>
      </c>
      <c r="I16" s="26">
        <v>4.0</v>
      </c>
      <c r="J16" s="26">
        <v>3.0</v>
      </c>
      <c r="K16" s="26">
        <v>5.0</v>
      </c>
      <c r="L16" s="26">
        <v>4.0</v>
      </c>
      <c r="M16" s="26">
        <v>5.0</v>
      </c>
      <c r="N16" s="26">
        <v>4.0</v>
      </c>
      <c r="O16" s="26">
        <v>4.0</v>
      </c>
      <c r="P16" s="26">
        <v>4.0</v>
      </c>
      <c r="Q16" s="26">
        <v>4.0</v>
      </c>
      <c r="R16" s="25" t="s">
        <v>89</v>
      </c>
      <c r="S16" s="25" t="s">
        <v>90</v>
      </c>
      <c r="T16" s="25" t="s">
        <v>91</v>
      </c>
      <c r="U16" s="25" t="s">
        <v>92</v>
      </c>
      <c r="V16" s="25" t="s">
        <v>93</v>
      </c>
      <c r="W16" s="25" t="s">
        <v>94</v>
      </c>
      <c r="X16" s="25" t="s">
        <v>95</v>
      </c>
      <c r="Y16" s="25" t="s">
        <v>96</v>
      </c>
      <c r="Z16" s="25" t="s">
        <v>97</v>
      </c>
      <c r="AA16" s="25" t="s">
        <v>98</v>
      </c>
      <c r="AB16" s="25" t="s">
        <v>99</v>
      </c>
      <c r="AC16" s="25" t="s">
        <v>100</v>
      </c>
      <c r="AD16" s="27">
        <v>120.0</v>
      </c>
      <c r="AE16" s="28"/>
      <c r="AF16" s="28"/>
      <c r="AG16" s="28"/>
      <c r="AH16" s="28"/>
      <c r="AI16" s="28"/>
      <c r="AJ16" s="28"/>
      <c r="AK16" s="28"/>
      <c r="AL16" s="28"/>
      <c r="AM16" s="28"/>
      <c r="AN16" s="28"/>
      <c r="AO16" s="28"/>
      <c r="AP16" s="29" t="s">
        <v>131</v>
      </c>
    </row>
    <row r="17" ht="22.5" customHeight="1">
      <c r="A17" s="30">
        <v>46173.503625196754</v>
      </c>
      <c r="B17" s="31" t="s">
        <v>132</v>
      </c>
      <c r="C17" s="31" t="s">
        <v>87</v>
      </c>
      <c r="D17" s="32">
        <v>19.0</v>
      </c>
      <c r="E17" s="31" t="s">
        <v>88</v>
      </c>
      <c r="F17" s="32">
        <v>5.0</v>
      </c>
      <c r="G17" s="32">
        <v>5.0</v>
      </c>
      <c r="H17" s="32">
        <v>4.0</v>
      </c>
      <c r="I17" s="32">
        <v>5.0</v>
      </c>
      <c r="J17" s="32">
        <v>5.0</v>
      </c>
      <c r="K17" s="32">
        <v>5.0</v>
      </c>
      <c r="L17" s="32">
        <v>5.0</v>
      </c>
      <c r="M17" s="32">
        <v>5.0</v>
      </c>
      <c r="N17" s="32">
        <v>5.0</v>
      </c>
      <c r="O17" s="32">
        <v>5.0</v>
      </c>
      <c r="P17" s="32">
        <v>5.0</v>
      </c>
      <c r="Q17" s="32">
        <v>5.0</v>
      </c>
      <c r="R17" s="31" t="s">
        <v>89</v>
      </c>
      <c r="S17" s="31" t="s">
        <v>90</v>
      </c>
      <c r="T17" s="31" t="s">
        <v>91</v>
      </c>
      <c r="U17" s="31" t="s">
        <v>92</v>
      </c>
      <c r="V17" s="31" t="s">
        <v>93</v>
      </c>
      <c r="W17" s="31" t="s">
        <v>94</v>
      </c>
      <c r="X17" s="31" t="s">
        <v>95</v>
      </c>
      <c r="Y17" s="31" t="s">
        <v>96</v>
      </c>
      <c r="Z17" s="31" t="s">
        <v>97</v>
      </c>
      <c r="AA17" s="31" t="s">
        <v>98</v>
      </c>
      <c r="AB17" s="31" t="s">
        <v>99</v>
      </c>
      <c r="AC17" s="31" t="s">
        <v>100</v>
      </c>
      <c r="AD17" s="33">
        <v>120.0</v>
      </c>
      <c r="AE17" s="34"/>
      <c r="AF17" s="34"/>
      <c r="AG17" s="34"/>
      <c r="AH17" s="34"/>
      <c r="AI17" s="34"/>
      <c r="AJ17" s="34"/>
      <c r="AK17" s="34"/>
      <c r="AL17" s="34"/>
      <c r="AM17" s="34"/>
      <c r="AN17" s="34"/>
      <c r="AO17" s="34"/>
      <c r="AP17" s="35" t="s">
        <v>131</v>
      </c>
    </row>
    <row r="18" ht="22.5" customHeight="1">
      <c r="A18" s="24">
        <v>46173.57786184028</v>
      </c>
      <c r="B18" s="25" t="s">
        <v>133</v>
      </c>
      <c r="C18" s="25" t="s">
        <v>105</v>
      </c>
      <c r="D18" s="26">
        <v>22.0</v>
      </c>
      <c r="E18" s="25" t="s">
        <v>134</v>
      </c>
      <c r="F18" s="26">
        <v>5.0</v>
      </c>
      <c r="G18" s="26">
        <v>5.0</v>
      </c>
      <c r="H18" s="26">
        <v>5.0</v>
      </c>
      <c r="I18" s="26">
        <v>4.0</v>
      </c>
      <c r="J18" s="26">
        <v>4.0</v>
      </c>
      <c r="K18" s="26">
        <v>5.0</v>
      </c>
      <c r="L18" s="26">
        <v>3.0</v>
      </c>
      <c r="M18" s="26">
        <v>3.0</v>
      </c>
      <c r="N18" s="26">
        <v>3.0</v>
      </c>
      <c r="O18" s="26">
        <v>4.0</v>
      </c>
      <c r="P18" s="26">
        <v>4.0</v>
      </c>
      <c r="Q18" s="26">
        <v>4.0</v>
      </c>
      <c r="R18" s="25" t="s">
        <v>89</v>
      </c>
      <c r="S18" s="25" t="s">
        <v>90</v>
      </c>
      <c r="T18" s="25" t="s">
        <v>91</v>
      </c>
      <c r="U18" s="25" t="s">
        <v>92</v>
      </c>
      <c r="V18" s="25" t="s">
        <v>93</v>
      </c>
      <c r="W18" s="25" t="s">
        <v>94</v>
      </c>
      <c r="X18" s="25" t="s">
        <v>95</v>
      </c>
      <c r="Y18" s="25" t="s">
        <v>96</v>
      </c>
      <c r="Z18" s="25" t="s">
        <v>97</v>
      </c>
      <c r="AA18" s="25" t="s">
        <v>98</v>
      </c>
      <c r="AB18" s="25" t="s">
        <v>99</v>
      </c>
      <c r="AC18" s="25" t="s">
        <v>100</v>
      </c>
      <c r="AD18" s="27">
        <v>120.0</v>
      </c>
      <c r="AE18" s="28"/>
      <c r="AF18" s="28"/>
      <c r="AG18" s="28"/>
      <c r="AH18" s="28"/>
      <c r="AI18" s="28"/>
      <c r="AJ18" s="28"/>
      <c r="AK18" s="28"/>
      <c r="AL18" s="28"/>
      <c r="AM18" s="28"/>
      <c r="AN18" s="28"/>
      <c r="AO18" s="28"/>
      <c r="AP18" s="29" t="s">
        <v>131</v>
      </c>
    </row>
    <row r="19" ht="22.5" customHeight="1">
      <c r="A19" s="30">
        <v>46173.57991236111</v>
      </c>
      <c r="B19" s="31" t="s">
        <v>135</v>
      </c>
      <c r="C19" s="31" t="s">
        <v>105</v>
      </c>
      <c r="D19" s="32">
        <v>22.0</v>
      </c>
      <c r="E19" s="31" t="s">
        <v>117</v>
      </c>
      <c r="F19" s="32">
        <v>4.0</v>
      </c>
      <c r="G19" s="32">
        <v>5.0</v>
      </c>
      <c r="H19" s="32">
        <v>2.0</v>
      </c>
      <c r="I19" s="32">
        <v>3.0</v>
      </c>
      <c r="J19" s="32">
        <v>3.0</v>
      </c>
      <c r="K19" s="32">
        <v>3.0</v>
      </c>
      <c r="L19" s="32">
        <v>3.0</v>
      </c>
      <c r="M19" s="32">
        <v>5.0</v>
      </c>
      <c r="N19" s="32">
        <v>3.0</v>
      </c>
      <c r="O19" s="32">
        <v>2.0</v>
      </c>
      <c r="P19" s="32">
        <v>4.0</v>
      </c>
      <c r="Q19" s="32">
        <v>3.0</v>
      </c>
      <c r="R19" s="31" t="s">
        <v>89</v>
      </c>
      <c r="S19" s="31" t="s">
        <v>90</v>
      </c>
      <c r="T19" s="31" t="s">
        <v>91</v>
      </c>
      <c r="U19" s="31" t="s">
        <v>92</v>
      </c>
      <c r="V19" s="31" t="s">
        <v>93</v>
      </c>
      <c r="W19" s="31" t="s">
        <v>94</v>
      </c>
      <c r="X19" s="31" t="s">
        <v>95</v>
      </c>
      <c r="Y19" s="31" t="s">
        <v>96</v>
      </c>
      <c r="Z19" s="31" t="s">
        <v>97</v>
      </c>
      <c r="AA19" s="31" t="s">
        <v>98</v>
      </c>
      <c r="AB19" s="31" t="s">
        <v>99</v>
      </c>
      <c r="AC19" s="31" t="s">
        <v>100</v>
      </c>
      <c r="AD19" s="33">
        <v>120.0</v>
      </c>
      <c r="AE19" s="34"/>
      <c r="AF19" s="34"/>
      <c r="AG19" s="34"/>
      <c r="AH19" s="34"/>
      <c r="AI19" s="34"/>
      <c r="AJ19" s="34"/>
      <c r="AK19" s="34"/>
      <c r="AL19" s="34"/>
      <c r="AM19" s="34"/>
      <c r="AN19" s="34"/>
      <c r="AO19" s="34"/>
      <c r="AP19" s="35" t="s">
        <v>131</v>
      </c>
    </row>
    <row r="20" ht="22.5" customHeight="1">
      <c r="A20" s="24">
        <v>46173.58339759259</v>
      </c>
      <c r="B20" s="25" t="s">
        <v>136</v>
      </c>
      <c r="C20" s="25" t="s">
        <v>105</v>
      </c>
      <c r="D20" s="26">
        <v>22.0</v>
      </c>
      <c r="E20" s="25" t="s">
        <v>114</v>
      </c>
      <c r="F20" s="26">
        <v>4.0</v>
      </c>
      <c r="G20" s="26">
        <v>4.0</v>
      </c>
      <c r="H20" s="26">
        <v>3.0</v>
      </c>
      <c r="I20" s="26">
        <v>4.0</v>
      </c>
      <c r="J20" s="26">
        <v>3.0</v>
      </c>
      <c r="K20" s="26">
        <v>4.0</v>
      </c>
      <c r="L20" s="26">
        <v>4.0</v>
      </c>
      <c r="M20" s="26">
        <v>4.0</v>
      </c>
      <c r="N20" s="26">
        <v>3.0</v>
      </c>
      <c r="O20" s="26">
        <v>1.0</v>
      </c>
      <c r="P20" s="26">
        <v>4.0</v>
      </c>
      <c r="Q20" s="26">
        <v>3.0</v>
      </c>
      <c r="R20" s="25" t="s">
        <v>89</v>
      </c>
      <c r="S20" s="25" t="s">
        <v>90</v>
      </c>
      <c r="T20" s="25" t="s">
        <v>91</v>
      </c>
      <c r="U20" s="25" t="s">
        <v>92</v>
      </c>
      <c r="V20" s="25" t="s">
        <v>93</v>
      </c>
      <c r="W20" s="25" t="s">
        <v>94</v>
      </c>
      <c r="X20" s="25" t="s">
        <v>95</v>
      </c>
      <c r="Y20" s="25" t="s">
        <v>96</v>
      </c>
      <c r="Z20" s="25" t="s">
        <v>97</v>
      </c>
      <c r="AA20" s="25" t="s">
        <v>98</v>
      </c>
      <c r="AB20" s="25" t="s">
        <v>99</v>
      </c>
      <c r="AC20" s="25" t="s">
        <v>100</v>
      </c>
      <c r="AD20" s="27">
        <v>120.0</v>
      </c>
      <c r="AE20" s="28"/>
      <c r="AF20" s="28"/>
      <c r="AG20" s="28"/>
      <c r="AH20" s="28"/>
      <c r="AI20" s="28"/>
      <c r="AJ20" s="28"/>
      <c r="AK20" s="28"/>
      <c r="AL20" s="28"/>
      <c r="AM20" s="28"/>
      <c r="AN20" s="28"/>
      <c r="AO20" s="28"/>
      <c r="AP20" s="29" t="s">
        <v>131</v>
      </c>
    </row>
    <row r="21" ht="22.5" customHeight="1">
      <c r="A21" s="30">
        <v>46173.52187541667</v>
      </c>
      <c r="B21" s="31" t="s">
        <v>137</v>
      </c>
      <c r="C21" s="31" t="s">
        <v>87</v>
      </c>
      <c r="D21" s="32">
        <v>22.0</v>
      </c>
      <c r="E21" s="31" t="s">
        <v>114</v>
      </c>
      <c r="F21" s="32">
        <v>5.0</v>
      </c>
      <c r="G21" s="32">
        <v>5.0</v>
      </c>
      <c r="H21" s="32">
        <v>3.0</v>
      </c>
      <c r="I21" s="32">
        <v>4.0</v>
      </c>
      <c r="J21" s="32">
        <v>4.0</v>
      </c>
      <c r="K21" s="32">
        <v>2.0</v>
      </c>
      <c r="L21" s="32">
        <v>3.0</v>
      </c>
      <c r="M21" s="32">
        <v>4.0</v>
      </c>
      <c r="N21" s="32">
        <v>3.0</v>
      </c>
      <c r="O21" s="32">
        <v>5.0</v>
      </c>
      <c r="P21" s="32">
        <v>5.0</v>
      </c>
      <c r="Q21" s="32">
        <v>4.0</v>
      </c>
      <c r="R21" s="31" t="s">
        <v>89</v>
      </c>
      <c r="S21" s="31" t="s">
        <v>90</v>
      </c>
      <c r="T21" s="31" t="s">
        <v>91</v>
      </c>
      <c r="U21" s="31" t="s">
        <v>92</v>
      </c>
      <c r="V21" s="31" t="s">
        <v>93</v>
      </c>
      <c r="W21" s="31" t="s">
        <v>94</v>
      </c>
      <c r="X21" s="31" t="s">
        <v>95</v>
      </c>
      <c r="Y21" s="31" t="s">
        <v>96</v>
      </c>
      <c r="Z21" s="31" t="s">
        <v>97</v>
      </c>
      <c r="AA21" s="31" t="s">
        <v>104</v>
      </c>
      <c r="AB21" s="31" t="s">
        <v>99</v>
      </c>
      <c r="AC21" s="31" t="s">
        <v>100</v>
      </c>
      <c r="AD21" s="33">
        <v>110.0</v>
      </c>
      <c r="AE21" s="34"/>
      <c r="AF21" s="34"/>
      <c r="AG21" s="34"/>
      <c r="AH21" s="34"/>
      <c r="AI21" s="34"/>
      <c r="AJ21" s="34"/>
      <c r="AK21" s="34"/>
      <c r="AL21" s="34"/>
      <c r="AM21" s="34"/>
      <c r="AN21" s="34"/>
      <c r="AO21" s="34"/>
      <c r="AP21" s="35" t="s">
        <v>131</v>
      </c>
    </row>
    <row r="22" ht="22.5" customHeight="1">
      <c r="A22" s="24">
        <v>46173.58103784722</v>
      </c>
      <c r="B22" s="25" t="s">
        <v>138</v>
      </c>
      <c r="C22" s="25" t="s">
        <v>87</v>
      </c>
      <c r="D22" s="26">
        <v>22.0</v>
      </c>
      <c r="E22" s="25" t="s">
        <v>103</v>
      </c>
      <c r="F22" s="26">
        <v>5.0</v>
      </c>
      <c r="G22" s="26">
        <v>5.0</v>
      </c>
      <c r="H22" s="26">
        <v>4.0</v>
      </c>
      <c r="I22" s="26">
        <v>5.0</v>
      </c>
      <c r="J22" s="26">
        <v>4.0</v>
      </c>
      <c r="K22" s="26">
        <v>4.0</v>
      </c>
      <c r="L22" s="26">
        <v>5.0</v>
      </c>
      <c r="M22" s="26">
        <v>4.0</v>
      </c>
      <c r="N22" s="26">
        <v>4.0</v>
      </c>
      <c r="O22" s="26">
        <v>3.0</v>
      </c>
      <c r="P22" s="26">
        <v>4.0</v>
      </c>
      <c r="Q22" s="26">
        <v>5.0</v>
      </c>
      <c r="R22" s="25" t="s">
        <v>89</v>
      </c>
      <c r="S22" s="25" t="s">
        <v>90</v>
      </c>
      <c r="T22" s="25" t="s">
        <v>91</v>
      </c>
      <c r="U22" s="25" t="s">
        <v>92</v>
      </c>
      <c r="V22" s="25" t="s">
        <v>93</v>
      </c>
      <c r="W22" s="25" t="s">
        <v>94</v>
      </c>
      <c r="X22" s="25" t="s">
        <v>95</v>
      </c>
      <c r="Y22" s="25" t="s">
        <v>96</v>
      </c>
      <c r="Z22" s="25" t="s">
        <v>139</v>
      </c>
      <c r="AA22" s="25" t="s">
        <v>98</v>
      </c>
      <c r="AB22" s="25" t="s">
        <v>99</v>
      </c>
      <c r="AC22" s="25" t="s">
        <v>100</v>
      </c>
      <c r="AD22" s="27">
        <v>110.0</v>
      </c>
      <c r="AE22" s="28"/>
      <c r="AF22" s="28"/>
      <c r="AG22" s="28"/>
      <c r="AH22" s="28"/>
      <c r="AI22" s="28"/>
      <c r="AJ22" s="28"/>
      <c r="AK22" s="28"/>
      <c r="AL22" s="28"/>
      <c r="AM22" s="28"/>
      <c r="AN22" s="28"/>
      <c r="AO22" s="28"/>
      <c r="AP22" s="29" t="s">
        <v>131</v>
      </c>
    </row>
    <row r="23" ht="22.5" customHeight="1">
      <c r="A23" s="30">
        <v>46173.58343130787</v>
      </c>
      <c r="B23" s="31" t="s">
        <v>140</v>
      </c>
      <c r="C23" s="31" t="s">
        <v>105</v>
      </c>
      <c r="D23" s="32">
        <v>22.0</v>
      </c>
      <c r="E23" s="31" t="s">
        <v>88</v>
      </c>
      <c r="F23" s="32">
        <v>5.0</v>
      </c>
      <c r="G23" s="32">
        <v>5.0</v>
      </c>
      <c r="H23" s="32">
        <v>5.0</v>
      </c>
      <c r="I23" s="32">
        <v>5.0</v>
      </c>
      <c r="J23" s="32">
        <v>5.0</v>
      </c>
      <c r="K23" s="32">
        <v>5.0</v>
      </c>
      <c r="L23" s="32">
        <v>5.0</v>
      </c>
      <c r="M23" s="32">
        <v>5.0</v>
      </c>
      <c r="N23" s="32">
        <v>3.0</v>
      </c>
      <c r="O23" s="32">
        <v>3.0</v>
      </c>
      <c r="P23" s="32">
        <v>4.0</v>
      </c>
      <c r="Q23" s="32">
        <v>5.0</v>
      </c>
      <c r="R23" s="31" t="s">
        <v>89</v>
      </c>
      <c r="S23" s="31" t="s">
        <v>90</v>
      </c>
      <c r="T23" s="31" t="s">
        <v>91</v>
      </c>
      <c r="U23" s="31" t="s">
        <v>92</v>
      </c>
      <c r="V23" s="31" t="s">
        <v>93</v>
      </c>
      <c r="W23" s="31" t="s">
        <v>94</v>
      </c>
      <c r="X23" s="31" t="s">
        <v>95</v>
      </c>
      <c r="Y23" s="31" t="s">
        <v>96</v>
      </c>
      <c r="Z23" s="31" t="s">
        <v>97</v>
      </c>
      <c r="AA23" s="31" t="s">
        <v>98</v>
      </c>
      <c r="AB23" s="31" t="s">
        <v>99</v>
      </c>
      <c r="AC23" s="31" t="s">
        <v>112</v>
      </c>
      <c r="AD23" s="33">
        <v>110.0</v>
      </c>
      <c r="AE23" s="34"/>
      <c r="AF23" s="34"/>
      <c r="AG23" s="34"/>
      <c r="AH23" s="34"/>
      <c r="AI23" s="34"/>
      <c r="AJ23" s="34"/>
      <c r="AK23" s="34"/>
      <c r="AL23" s="34"/>
      <c r="AM23" s="34"/>
      <c r="AN23" s="34"/>
      <c r="AO23" s="34"/>
      <c r="AP23" s="35" t="s">
        <v>131</v>
      </c>
    </row>
    <row r="24" ht="22.5" customHeight="1">
      <c r="A24" s="24">
        <v>46173.603597407404</v>
      </c>
      <c r="B24" s="25" t="s">
        <v>141</v>
      </c>
      <c r="C24" s="25" t="s">
        <v>105</v>
      </c>
      <c r="D24" s="26">
        <v>22.0</v>
      </c>
      <c r="E24" s="25" t="s">
        <v>114</v>
      </c>
      <c r="F24" s="26">
        <v>3.0</v>
      </c>
      <c r="G24" s="26">
        <v>4.0</v>
      </c>
      <c r="H24" s="26">
        <v>4.0</v>
      </c>
      <c r="I24" s="26">
        <v>3.0</v>
      </c>
      <c r="J24" s="26">
        <v>4.0</v>
      </c>
      <c r="K24" s="26">
        <v>4.0</v>
      </c>
      <c r="L24" s="26">
        <v>5.0</v>
      </c>
      <c r="M24" s="26">
        <v>4.0</v>
      </c>
      <c r="N24" s="26">
        <v>2.0</v>
      </c>
      <c r="O24" s="26">
        <v>3.0</v>
      </c>
      <c r="P24" s="26">
        <v>4.0</v>
      </c>
      <c r="Q24" s="26">
        <v>5.0</v>
      </c>
      <c r="R24" s="25" t="s">
        <v>89</v>
      </c>
      <c r="S24" s="25" t="s">
        <v>90</v>
      </c>
      <c r="T24" s="25" t="s">
        <v>91</v>
      </c>
      <c r="U24" s="25" t="s">
        <v>92</v>
      </c>
      <c r="V24" s="25" t="s">
        <v>93</v>
      </c>
      <c r="W24" s="25" t="s">
        <v>94</v>
      </c>
      <c r="X24" s="25" t="s">
        <v>95</v>
      </c>
      <c r="Y24" s="25" t="s">
        <v>110</v>
      </c>
      <c r="Z24" s="25" t="s">
        <v>97</v>
      </c>
      <c r="AA24" s="25" t="s">
        <v>98</v>
      </c>
      <c r="AB24" s="25" t="s">
        <v>99</v>
      </c>
      <c r="AC24" s="25" t="s">
        <v>100</v>
      </c>
      <c r="AD24" s="27">
        <v>110.0</v>
      </c>
      <c r="AE24" s="28"/>
      <c r="AF24" s="28"/>
      <c r="AG24" s="28"/>
      <c r="AH24" s="28"/>
      <c r="AI24" s="28"/>
      <c r="AJ24" s="28"/>
      <c r="AK24" s="28"/>
      <c r="AL24" s="28"/>
      <c r="AM24" s="28"/>
      <c r="AN24" s="28"/>
      <c r="AO24" s="28"/>
      <c r="AP24" s="29" t="s">
        <v>131</v>
      </c>
    </row>
    <row r="25" ht="22.5" customHeight="1">
      <c r="A25" s="30">
        <v>46173.60462815972</v>
      </c>
      <c r="B25" s="31" t="s">
        <v>142</v>
      </c>
      <c r="C25" s="31" t="s">
        <v>87</v>
      </c>
      <c r="D25" s="32">
        <v>22.0</v>
      </c>
      <c r="E25" s="31" t="s">
        <v>88</v>
      </c>
      <c r="F25" s="32">
        <v>4.0</v>
      </c>
      <c r="G25" s="32">
        <v>4.0</v>
      </c>
      <c r="H25" s="32">
        <v>4.0</v>
      </c>
      <c r="I25" s="32">
        <v>4.0</v>
      </c>
      <c r="J25" s="32">
        <v>5.0</v>
      </c>
      <c r="K25" s="32">
        <v>3.0</v>
      </c>
      <c r="L25" s="32">
        <v>3.0</v>
      </c>
      <c r="M25" s="32">
        <v>4.0</v>
      </c>
      <c r="N25" s="32">
        <v>2.0</v>
      </c>
      <c r="O25" s="32">
        <v>3.0</v>
      </c>
      <c r="P25" s="32">
        <v>2.0</v>
      </c>
      <c r="Q25" s="32">
        <v>2.0</v>
      </c>
      <c r="R25" s="31" t="s">
        <v>89</v>
      </c>
      <c r="S25" s="31" t="s">
        <v>90</v>
      </c>
      <c r="T25" s="31" t="s">
        <v>91</v>
      </c>
      <c r="U25" s="31" t="s">
        <v>92</v>
      </c>
      <c r="V25" s="31" t="s">
        <v>93</v>
      </c>
      <c r="W25" s="31" t="s">
        <v>94</v>
      </c>
      <c r="X25" s="31" t="s">
        <v>95</v>
      </c>
      <c r="Y25" s="31" t="s">
        <v>110</v>
      </c>
      <c r="Z25" s="31" t="s">
        <v>97</v>
      </c>
      <c r="AA25" s="31" t="s">
        <v>98</v>
      </c>
      <c r="AB25" s="31" t="s">
        <v>99</v>
      </c>
      <c r="AC25" s="31" t="s">
        <v>100</v>
      </c>
      <c r="AD25" s="33">
        <v>110.0</v>
      </c>
      <c r="AE25" s="34"/>
      <c r="AF25" s="34"/>
      <c r="AG25" s="34"/>
      <c r="AH25" s="34"/>
      <c r="AI25" s="34"/>
      <c r="AJ25" s="34"/>
      <c r="AK25" s="34"/>
      <c r="AL25" s="34"/>
      <c r="AM25" s="34"/>
      <c r="AN25" s="34"/>
      <c r="AO25" s="34"/>
      <c r="AP25" s="35" t="s">
        <v>131</v>
      </c>
    </row>
    <row r="26" ht="22.5" customHeight="1">
      <c r="A26" s="24">
        <v>46173.49498603009</v>
      </c>
      <c r="B26" s="25" t="s">
        <v>143</v>
      </c>
      <c r="C26" s="25" t="s">
        <v>105</v>
      </c>
      <c r="D26" s="26">
        <v>22.0</v>
      </c>
      <c r="E26" s="25" t="s">
        <v>88</v>
      </c>
      <c r="F26" s="26">
        <v>5.0</v>
      </c>
      <c r="G26" s="26">
        <v>5.0</v>
      </c>
      <c r="H26" s="26">
        <v>5.0</v>
      </c>
      <c r="I26" s="26">
        <v>5.0</v>
      </c>
      <c r="J26" s="26">
        <v>4.0</v>
      </c>
      <c r="K26" s="26">
        <v>5.0</v>
      </c>
      <c r="L26" s="26">
        <v>4.0</v>
      </c>
      <c r="M26" s="26">
        <v>5.0</v>
      </c>
      <c r="N26" s="26">
        <v>3.0</v>
      </c>
      <c r="O26" s="26">
        <v>1.0</v>
      </c>
      <c r="P26" s="26">
        <v>4.0</v>
      </c>
      <c r="Q26" s="26">
        <v>5.0</v>
      </c>
      <c r="R26" s="25" t="s">
        <v>89</v>
      </c>
      <c r="S26" s="25" t="s">
        <v>144</v>
      </c>
      <c r="T26" s="25" t="s">
        <v>91</v>
      </c>
      <c r="U26" s="25" t="s">
        <v>92</v>
      </c>
      <c r="V26" s="25" t="s">
        <v>93</v>
      </c>
      <c r="W26" s="25" t="s">
        <v>94</v>
      </c>
      <c r="X26" s="25" t="s">
        <v>95</v>
      </c>
      <c r="Y26" s="25" t="s">
        <v>96</v>
      </c>
      <c r="Z26" s="25" t="s">
        <v>97</v>
      </c>
      <c r="AA26" s="25" t="s">
        <v>98</v>
      </c>
      <c r="AB26" s="25" t="s">
        <v>99</v>
      </c>
      <c r="AC26" s="25" t="s">
        <v>112</v>
      </c>
      <c r="AD26" s="27">
        <v>100.0</v>
      </c>
      <c r="AE26" s="28"/>
      <c r="AF26" s="28"/>
      <c r="AG26" s="28"/>
      <c r="AH26" s="28"/>
      <c r="AI26" s="28"/>
      <c r="AJ26" s="28"/>
      <c r="AK26" s="28"/>
      <c r="AL26" s="28"/>
      <c r="AM26" s="28"/>
      <c r="AN26" s="28"/>
      <c r="AO26" s="28"/>
      <c r="AP26" s="29" t="s">
        <v>131</v>
      </c>
    </row>
    <row r="27" ht="22.5" customHeight="1">
      <c r="A27" s="30">
        <v>46173.513152858795</v>
      </c>
      <c r="B27" s="31" t="s">
        <v>145</v>
      </c>
      <c r="C27" s="31" t="s">
        <v>87</v>
      </c>
      <c r="D27" s="32">
        <v>21.0</v>
      </c>
      <c r="E27" s="31" t="s">
        <v>103</v>
      </c>
      <c r="F27" s="32">
        <v>5.0</v>
      </c>
      <c r="G27" s="32">
        <v>5.0</v>
      </c>
      <c r="H27" s="32">
        <v>4.0</v>
      </c>
      <c r="I27" s="32">
        <v>5.0</v>
      </c>
      <c r="J27" s="32">
        <v>4.0</v>
      </c>
      <c r="K27" s="32">
        <v>4.0</v>
      </c>
      <c r="L27" s="32">
        <v>5.0</v>
      </c>
      <c r="M27" s="32">
        <v>4.0</v>
      </c>
      <c r="N27" s="32">
        <v>3.0</v>
      </c>
      <c r="O27" s="32">
        <v>3.0</v>
      </c>
      <c r="P27" s="32">
        <v>4.0</v>
      </c>
      <c r="Q27" s="32">
        <v>5.0</v>
      </c>
      <c r="R27" s="31" t="s">
        <v>89</v>
      </c>
      <c r="S27" s="31" t="s">
        <v>90</v>
      </c>
      <c r="T27" s="31" t="s">
        <v>91</v>
      </c>
      <c r="U27" s="31" t="s">
        <v>92</v>
      </c>
      <c r="V27" s="31" t="s">
        <v>93</v>
      </c>
      <c r="W27" s="31" t="s">
        <v>94</v>
      </c>
      <c r="X27" s="31" t="s">
        <v>95</v>
      </c>
      <c r="Y27" s="31" t="s">
        <v>96</v>
      </c>
      <c r="Z27" s="31" t="s">
        <v>139</v>
      </c>
      <c r="AA27" s="31" t="s">
        <v>104</v>
      </c>
      <c r="AB27" s="31" t="s">
        <v>99</v>
      </c>
      <c r="AC27" s="31" t="s">
        <v>100</v>
      </c>
      <c r="AD27" s="33">
        <v>100.0</v>
      </c>
      <c r="AE27" s="34"/>
      <c r="AF27" s="34"/>
      <c r="AG27" s="34"/>
      <c r="AH27" s="34"/>
      <c r="AI27" s="34"/>
      <c r="AJ27" s="34"/>
      <c r="AK27" s="34"/>
      <c r="AL27" s="34"/>
      <c r="AM27" s="34"/>
      <c r="AN27" s="34"/>
      <c r="AO27" s="34"/>
      <c r="AP27" s="35" t="s">
        <v>131</v>
      </c>
    </row>
    <row r="28" ht="22.5" customHeight="1">
      <c r="A28" s="24">
        <v>46173.53010233796</v>
      </c>
      <c r="B28" s="25" t="s">
        <v>146</v>
      </c>
      <c r="C28" s="25" t="s">
        <v>87</v>
      </c>
      <c r="D28" s="26">
        <v>21.0</v>
      </c>
      <c r="E28" s="25" t="s">
        <v>103</v>
      </c>
      <c r="F28" s="26">
        <v>4.0</v>
      </c>
      <c r="G28" s="26">
        <v>4.0</v>
      </c>
      <c r="H28" s="26">
        <v>4.0</v>
      </c>
      <c r="I28" s="26">
        <v>4.0</v>
      </c>
      <c r="J28" s="26">
        <v>4.0</v>
      </c>
      <c r="K28" s="26">
        <v>4.0</v>
      </c>
      <c r="L28" s="26">
        <v>4.0</v>
      </c>
      <c r="M28" s="26">
        <v>4.0</v>
      </c>
      <c r="N28" s="26">
        <v>4.0</v>
      </c>
      <c r="O28" s="26">
        <v>4.0</v>
      </c>
      <c r="P28" s="26">
        <v>4.0</v>
      </c>
      <c r="Q28" s="26">
        <v>5.0</v>
      </c>
      <c r="R28" s="25" t="s">
        <v>89</v>
      </c>
      <c r="S28" s="25" t="s">
        <v>90</v>
      </c>
      <c r="T28" s="25" t="s">
        <v>91</v>
      </c>
      <c r="U28" s="25" t="s">
        <v>92</v>
      </c>
      <c r="V28" s="25" t="s">
        <v>93</v>
      </c>
      <c r="W28" s="25" t="s">
        <v>94</v>
      </c>
      <c r="X28" s="25" t="s">
        <v>95</v>
      </c>
      <c r="Y28" s="25" t="s">
        <v>110</v>
      </c>
      <c r="Z28" s="25" t="s">
        <v>97</v>
      </c>
      <c r="AA28" s="25" t="s">
        <v>104</v>
      </c>
      <c r="AB28" s="25" t="s">
        <v>99</v>
      </c>
      <c r="AC28" s="25" t="s">
        <v>100</v>
      </c>
      <c r="AD28" s="27">
        <v>100.0</v>
      </c>
      <c r="AE28" s="28"/>
      <c r="AF28" s="28"/>
      <c r="AG28" s="28"/>
      <c r="AH28" s="28"/>
      <c r="AI28" s="28"/>
      <c r="AJ28" s="28"/>
      <c r="AK28" s="28"/>
      <c r="AL28" s="28"/>
      <c r="AM28" s="28"/>
      <c r="AN28" s="28"/>
      <c r="AO28" s="28"/>
      <c r="AP28" s="29" t="s">
        <v>131</v>
      </c>
    </row>
    <row r="29" ht="22.5" customHeight="1">
      <c r="A29" s="30">
        <v>46173.57980983796</v>
      </c>
      <c r="B29" s="31" t="s">
        <v>147</v>
      </c>
      <c r="C29" s="31" t="s">
        <v>105</v>
      </c>
      <c r="D29" s="32">
        <v>22.0</v>
      </c>
      <c r="E29" s="31" t="s">
        <v>103</v>
      </c>
      <c r="F29" s="32">
        <v>5.0</v>
      </c>
      <c r="G29" s="32">
        <v>5.0</v>
      </c>
      <c r="H29" s="32">
        <v>5.0</v>
      </c>
      <c r="I29" s="32">
        <v>4.0</v>
      </c>
      <c r="J29" s="32">
        <v>4.0</v>
      </c>
      <c r="K29" s="32">
        <v>4.0</v>
      </c>
      <c r="L29" s="32">
        <v>5.0</v>
      </c>
      <c r="M29" s="32">
        <v>3.0</v>
      </c>
      <c r="N29" s="32">
        <v>4.0</v>
      </c>
      <c r="O29" s="32">
        <v>4.0</v>
      </c>
      <c r="P29" s="32">
        <v>3.0</v>
      </c>
      <c r="Q29" s="32">
        <v>4.0</v>
      </c>
      <c r="R29" s="31" t="s">
        <v>89</v>
      </c>
      <c r="S29" s="31" t="s">
        <v>90</v>
      </c>
      <c r="T29" s="31" t="s">
        <v>91</v>
      </c>
      <c r="U29" s="31" t="s">
        <v>92</v>
      </c>
      <c r="V29" s="31" t="s">
        <v>93</v>
      </c>
      <c r="W29" s="31" t="s">
        <v>106</v>
      </c>
      <c r="X29" s="31" t="s">
        <v>95</v>
      </c>
      <c r="Y29" s="31" t="s">
        <v>96</v>
      </c>
      <c r="Z29" s="31" t="s">
        <v>111</v>
      </c>
      <c r="AA29" s="31" t="s">
        <v>104</v>
      </c>
      <c r="AB29" s="31" t="s">
        <v>99</v>
      </c>
      <c r="AC29" s="31" t="s">
        <v>100</v>
      </c>
      <c r="AD29" s="33">
        <v>90.0</v>
      </c>
      <c r="AE29" s="34"/>
      <c r="AF29" s="34"/>
      <c r="AG29" s="34"/>
      <c r="AH29" s="34"/>
      <c r="AI29" s="34"/>
      <c r="AJ29" s="34"/>
      <c r="AK29" s="34"/>
      <c r="AL29" s="34"/>
      <c r="AM29" s="34"/>
      <c r="AN29" s="34"/>
      <c r="AO29" s="34"/>
      <c r="AP29" s="35" t="s">
        <v>131</v>
      </c>
    </row>
    <row r="30" ht="22.5" customHeight="1">
      <c r="A30" s="24">
        <v>46173.57705850694</v>
      </c>
      <c r="B30" s="25" t="s">
        <v>148</v>
      </c>
      <c r="C30" s="25" t="s">
        <v>105</v>
      </c>
      <c r="D30" s="26">
        <v>21.0</v>
      </c>
      <c r="E30" s="25" t="s">
        <v>117</v>
      </c>
      <c r="F30" s="26">
        <v>3.0</v>
      </c>
      <c r="G30" s="26">
        <v>4.0</v>
      </c>
      <c r="H30" s="26">
        <v>4.0</v>
      </c>
      <c r="I30" s="26">
        <v>3.0</v>
      </c>
      <c r="J30" s="26">
        <v>3.0</v>
      </c>
      <c r="K30" s="26">
        <v>3.0</v>
      </c>
      <c r="L30" s="26">
        <v>3.0</v>
      </c>
      <c r="M30" s="26">
        <v>4.0</v>
      </c>
      <c r="N30" s="26">
        <v>3.0</v>
      </c>
      <c r="O30" s="26">
        <v>4.0</v>
      </c>
      <c r="P30" s="26">
        <v>3.0</v>
      </c>
      <c r="Q30" s="26">
        <v>3.0</v>
      </c>
      <c r="R30" s="25" t="s">
        <v>89</v>
      </c>
      <c r="S30" s="25" t="s">
        <v>90</v>
      </c>
      <c r="T30" s="25" t="s">
        <v>149</v>
      </c>
      <c r="U30" s="25" t="s">
        <v>92</v>
      </c>
      <c r="V30" s="25" t="s">
        <v>150</v>
      </c>
      <c r="W30" s="25" t="s">
        <v>94</v>
      </c>
      <c r="X30" s="25" t="s">
        <v>95</v>
      </c>
      <c r="Y30" s="25" t="s">
        <v>110</v>
      </c>
      <c r="Z30" s="25" t="s">
        <v>97</v>
      </c>
      <c r="AA30" s="25" t="s">
        <v>124</v>
      </c>
      <c r="AB30" s="25" t="s">
        <v>99</v>
      </c>
      <c r="AC30" s="25" t="s">
        <v>100</v>
      </c>
      <c r="AD30" s="27">
        <v>80.0</v>
      </c>
      <c r="AE30" s="28"/>
      <c r="AF30" s="28"/>
      <c r="AG30" s="28"/>
      <c r="AH30" s="28"/>
      <c r="AI30" s="28"/>
      <c r="AJ30" s="28"/>
      <c r="AK30" s="28"/>
      <c r="AL30" s="28"/>
      <c r="AM30" s="28"/>
      <c r="AN30" s="28"/>
      <c r="AO30" s="28"/>
      <c r="AP30" s="29" t="s">
        <v>131</v>
      </c>
    </row>
    <row r="31" ht="22.5" customHeight="1">
      <c r="A31" s="36">
        <v>46173.591219131944</v>
      </c>
      <c r="B31" s="37" t="s">
        <v>151</v>
      </c>
      <c r="C31" s="37" t="s">
        <v>87</v>
      </c>
      <c r="D31" s="38">
        <v>22.0</v>
      </c>
      <c r="E31" s="37" t="s">
        <v>88</v>
      </c>
      <c r="F31" s="38">
        <v>3.0</v>
      </c>
      <c r="G31" s="38">
        <v>2.0</v>
      </c>
      <c r="H31" s="38">
        <v>2.0</v>
      </c>
      <c r="I31" s="38">
        <v>3.0</v>
      </c>
      <c r="J31" s="38">
        <v>5.0</v>
      </c>
      <c r="K31" s="38">
        <v>5.0</v>
      </c>
      <c r="L31" s="38">
        <v>5.0</v>
      </c>
      <c r="M31" s="38">
        <v>5.0</v>
      </c>
      <c r="N31" s="38">
        <v>5.0</v>
      </c>
      <c r="O31" s="38">
        <v>3.0</v>
      </c>
      <c r="P31" s="38">
        <v>3.0</v>
      </c>
      <c r="Q31" s="38">
        <v>5.0</v>
      </c>
      <c r="R31" s="37" t="s">
        <v>89</v>
      </c>
      <c r="S31" s="37" t="s">
        <v>90</v>
      </c>
      <c r="T31" s="37" t="s">
        <v>91</v>
      </c>
      <c r="U31" s="37" t="s">
        <v>92</v>
      </c>
      <c r="V31" s="37" t="s">
        <v>93</v>
      </c>
      <c r="W31" s="37" t="s">
        <v>106</v>
      </c>
      <c r="X31" s="37" t="s">
        <v>95</v>
      </c>
      <c r="Y31" s="37" t="s">
        <v>96</v>
      </c>
      <c r="Z31" s="37" t="s">
        <v>111</v>
      </c>
      <c r="AA31" s="37" t="s">
        <v>124</v>
      </c>
      <c r="AB31" s="37" t="s">
        <v>99</v>
      </c>
      <c r="AC31" s="37" t="s">
        <v>112</v>
      </c>
      <c r="AD31" s="39">
        <v>80.0</v>
      </c>
      <c r="AE31" s="40"/>
      <c r="AF31" s="40"/>
      <c r="AG31" s="40"/>
      <c r="AH31" s="40"/>
      <c r="AI31" s="40"/>
      <c r="AJ31" s="40"/>
      <c r="AK31" s="40"/>
      <c r="AL31" s="40"/>
      <c r="AM31" s="40"/>
      <c r="AN31" s="40"/>
      <c r="AO31" s="40"/>
      <c r="AP31" s="41" t="s">
        <v>131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9.88"/>
    <col customWidth="1" min="4" max="4" width="23.38"/>
    <col customWidth="1" min="5" max="5" width="19.75"/>
    <col customWidth="1" min="12" max="12" width="14.0"/>
    <col customWidth="1" min="13" max="13" width="13.75"/>
  </cols>
  <sheetData>
    <row r="1">
      <c r="A1" s="42" t="s">
        <v>152</v>
      </c>
      <c r="B1" s="42" t="s">
        <v>153</v>
      </c>
      <c r="C1" s="42" t="s">
        <v>154</v>
      </c>
      <c r="D1" s="42" t="s">
        <v>155</v>
      </c>
      <c r="E1" s="42" t="s">
        <v>156</v>
      </c>
      <c r="G1" s="43" t="s">
        <v>157</v>
      </c>
      <c r="H1" s="43" t="s">
        <v>158</v>
      </c>
      <c r="I1" s="43" t="s">
        <v>159</v>
      </c>
      <c r="K1" s="44" t="s">
        <v>157</v>
      </c>
      <c r="L1" s="44" t="s">
        <v>160</v>
      </c>
      <c r="M1" s="44" t="s">
        <v>161</v>
      </c>
      <c r="O1" s="44" t="s">
        <v>157</v>
      </c>
      <c r="P1" s="44" t="s">
        <v>160</v>
      </c>
      <c r="Q1" s="44" t="s">
        <v>161</v>
      </c>
      <c r="S1" s="44" t="s">
        <v>162</v>
      </c>
      <c r="T1" s="44" t="s">
        <v>158</v>
      </c>
      <c r="U1" s="44" t="s">
        <v>159</v>
      </c>
      <c r="W1" s="44" t="s">
        <v>162</v>
      </c>
      <c r="X1" s="44" t="s">
        <v>158</v>
      </c>
      <c r="Y1" s="44" t="s">
        <v>159</v>
      </c>
      <c r="AA1" s="45" t="s">
        <v>163</v>
      </c>
      <c r="AB1" s="45" t="s">
        <v>164</v>
      </c>
      <c r="AC1" s="45" t="s">
        <v>165</v>
      </c>
      <c r="AD1" s="45" t="s">
        <v>166</v>
      </c>
      <c r="AE1" s="45" t="s">
        <v>167</v>
      </c>
      <c r="AF1" s="45" t="s">
        <v>168</v>
      </c>
      <c r="AG1" s="46"/>
      <c r="AH1" s="46"/>
      <c r="AI1" s="46"/>
      <c r="AJ1" s="46"/>
      <c r="AK1" s="46"/>
      <c r="AL1" s="46"/>
      <c r="AM1" s="46"/>
      <c r="AN1" s="46"/>
      <c r="AO1" s="46"/>
      <c r="AP1" s="46"/>
    </row>
    <row r="2">
      <c r="A2" s="43" t="s">
        <v>169</v>
      </c>
      <c r="B2" s="44" t="s">
        <v>170</v>
      </c>
      <c r="C2" s="47" t="str">
        <f>IFERROR(__xludf.DUMMYFUNCTION("FILTER(Form1!B2:B1000,Form1!B2:B1000&lt;&gt;"""",ISNUMBER(MATCH(Form1!B2:B1000,FILTER(Form2!B2:B1000,Form2!AP2:AP1000=""Rồi""),0)))"),"trungdo2306@gmail.com")</f>
        <v>trungdo2306@gmail.com</v>
      </c>
      <c r="D2" s="47">
        <f t="array" ref="D2:D1000">IF(C2:C1000="",,XLOOKUP(C2:C1000,Form1!B:B,Form1!W:W))</f>
        <v>90</v>
      </c>
      <c r="E2" s="47">
        <f>IFERROR(__xludf.DUMMYFUNCTION("ARRAYFORMULA(IF(C2:C1000="""",,XLOOKUP(C2:C1000,FILTER(Form2!B:B,Form2!AP:AP=""Rồi""),FILTER(Form2!AD:AD,Form2!AP:AP=""Rồi""))))"),120.0)</f>
        <v>120</v>
      </c>
      <c r="G2" s="43" t="s">
        <v>171</v>
      </c>
      <c r="H2" s="48">
        <f t="array" ref="H2:H5">MAP({0;60;90;110},{59;89;109;120},LAMBDA(min,max,COUNTIFS($D$2:$D$12,"&gt;="&amp;min,$D$2:$D$12,"&lt;="&amp;max)))</f>
        <v>1</v>
      </c>
      <c r="I2" s="43">
        <v>0.0</v>
      </c>
      <c r="K2" s="44" t="s">
        <v>171</v>
      </c>
      <c r="L2" s="47">
        <f t="array" ref="L2:M5">HSTACK(
MAP({0;60;90;110},{59;89;109;120},LAMBDA(min,max,COUNTIFS(Form2!$AP$2:$AP1000,"*Rồi*",Form2!$AD$2:$AD1000,"&gt;="&amp;min,Form2!$AD$2:$AD1000,"&lt;="&amp;max))),
MAP({0;60;90;110},{59;89;109;120},LAMBDA(min,max,COUNTIFS(Form2!$AP$2:$AP1000,"*Chưa*",Form2!$AD$2:$AD1000,"&gt;="&amp;min,Form2!$AD$2:$AD1000,"&lt;="&amp;max)))
)</f>
        <v>0</v>
      </c>
      <c r="M2" s="47">
        <v>0.0</v>
      </c>
      <c r="O2" s="44" t="s">
        <v>171</v>
      </c>
      <c r="P2" s="44">
        <v>1.0</v>
      </c>
      <c r="Q2" s="44">
        <v>0.0</v>
      </c>
      <c r="S2" s="44">
        <v>1.0</v>
      </c>
      <c r="T2" s="47">
        <f>IFERROR(__xludf.DUMMYFUNCTION("MAP(S2:S6,LAMBDA(m,COUNTIF(FILTER(Form1!C2:G1000,ISNUMBER(MATCH(Form1!B2:B1000,$C$2:$C$12,0))),m)))"),2.0)</f>
        <v>2</v>
      </c>
      <c r="U2" s="47">
        <f>IFERROR(__xludf.DUMMYFUNCTION("MAP(S2:S6,LAMBDA(m,COUNTIF(FILTER(Form2!F2:J1000,ISNUMBER(MATCH(Form2!B2:B1000,$C$2:$C$12,0)),REGEXMATCH(Form2!AP2:AP1000,""Rồi"")),m)))"),0.0)</f>
        <v>0</v>
      </c>
      <c r="W2" s="44">
        <v>1.0</v>
      </c>
      <c r="X2" s="47">
        <f>IFERROR(__xludf.DUMMYFUNCTION("MAP(S2:S6,LAMBDA(m,COUNTIF(FILTER(Form1!H2:N1000,ISNUMBER(MATCH(Form1!B2:B1000,$C$2:$C$12,0))),m)))"),2.0)</f>
        <v>2</v>
      </c>
      <c r="Y2" s="47">
        <f>IFERROR(__xludf.DUMMYFUNCTION("MAP(S2:S6,LAMBDA(m,COUNTIF(FILTER(Form2!K2:Q1000,ISNUMBER(MATCH(Form2!B2:B1000,$C$2:$C$12,0)),REGEXMATCH(Form2!AP2:AP1000,""Rồi"")),m)))"),4.0)</f>
        <v>4</v>
      </c>
      <c r="AA2" s="45" t="s">
        <v>172</v>
      </c>
      <c r="AB2" s="49">
        <f>IFERROR(__xludf.DUMMYFUNCTION("MAKEARRAY(10,5,LAMBDA(r,c,COUNTIF(FILTER(INDEX(Form2!$AE$2:$AN1000,,r),ISNUMBER(MATCH(Form2!$B$2:$B1000,$C$2:$C$12,0)),REGEXMATCH(Form2!$AP$2:$AP1000,""Rồi"")),c)))"),0.0)</f>
        <v>0</v>
      </c>
      <c r="AC2" s="49">
        <f>IFERROR(__xludf.DUMMYFUNCTION("""COMPUTED_VALUE"""),5.0)</f>
        <v>5</v>
      </c>
      <c r="AD2" s="49">
        <f>IFERROR(__xludf.DUMMYFUNCTION("""COMPUTED_VALUE"""),2.0)</f>
        <v>2</v>
      </c>
      <c r="AE2" s="49">
        <f>IFERROR(__xludf.DUMMYFUNCTION("""COMPUTED_VALUE"""),2.0)</f>
        <v>2</v>
      </c>
      <c r="AF2" s="49">
        <f>IFERROR(__xludf.DUMMYFUNCTION("""COMPUTED_VALUE"""),2.0)</f>
        <v>2</v>
      </c>
    </row>
    <row r="3">
      <c r="A3" s="43" t="s">
        <v>173</v>
      </c>
      <c r="B3" s="44" t="s">
        <v>174</v>
      </c>
      <c r="C3" s="47" t="str">
        <f>IFERROR(__xludf.DUMMYFUNCTION("""COMPUTED_VALUE"""),"nguyenlanhuong15679@gmail.com")</f>
        <v>nguyenlanhuong15679@gmail.com</v>
      </c>
      <c r="D3" s="47">
        <v>75.0</v>
      </c>
      <c r="E3" s="47">
        <f>IFERROR(__xludf.DUMMYFUNCTION("""COMPUTED_VALUE"""),100.0)</f>
        <v>100</v>
      </c>
      <c r="G3" s="43" t="s">
        <v>175</v>
      </c>
      <c r="H3" s="48">
        <v>3.0</v>
      </c>
      <c r="I3" s="43">
        <v>1.0</v>
      </c>
      <c r="K3" s="44" t="s">
        <v>175</v>
      </c>
      <c r="L3" s="47">
        <v>2.0</v>
      </c>
      <c r="M3" s="47">
        <v>2.0</v>
      </c>
      <c r="O3" s="44" t="s">
        <v>175</v>
      </c>
      <c r="P3" s="44">
        <v>2.0</v>
      </c>
      <c r="Q3" s="44">
        <v>1.0</v>
      </c>
      <c r="S3" s="44">
        <v>2.0</v>
      </c>
      <c r="T3" s="47">
        <f>IFERROR(__xludf.DUMMYFUNCTION("""COMPUTED_VALUE"""),4.0)</f>
        <v>4</v>
      </c>
      <c r="U3" s="47">
        <f>IFERROR(__xludf.DUMMYFUNCTION("""COMPUTED_VALUE"""),1.0)</f>
        <v>1</v>
      </c>
      <c r="W3" s="44">
        <v>2.0</v>
      </c>
      <c r="X3" s="47">
        <f>IFERROR(__xludf.DUMMYFUNCTION("""COMPUTED_VALUE"""),7.0)</f>
        <v>7</v>
      </c>
      <c r="Y3" s="47">
        <f>IFERROR(__xludf.DUMMYFUNCTION("""COMPUTED_VALUE"""),5.0)</f>
        <v>5</v>
      </c>
      <c r="AA3" s="45" t="s">
        <v>176</v>
      </c>
      <c r="AB3" s="49">
        <f>IFERROR(__xludf.DUMMYFUNCTION("""COMPUTED_VALUE"""),0.0)</f>
        <v>0</v>
      </c>
      <c r="AC3" s="49">
        <f>IFERROR(__xludf.DUMMYFUNCTION("""COMPUTED_VALUE"""),1.0)</f>
        <v>1</v>
      </c>
      <c r="AD3" s="49">
        <f>IFERROR(__xludf.DUMMYFUNCTION("""COMPUTED_VALUE"""),3.0)</f>
        <v>3</v>
      </c>
      <c r="AE3" s="49">
        <f>IFERROR(__xludf.DUMMYFUNCTION("""COMPUTED_VALUE"""),1.0)</f>
        <v>1</v>
      </c>
      <c r="AF3" s="49">
        <f>IFERROR(__xludf.DUMMYFUNCTION("""COMPUTED_VALUE"""),6.0)</f>
        <v>6</v>
      </c>
    </row>
    <row r="4">
      <c r="A4" s="43" t="s">
        <v>177</v>
      </c>
      <c r="B4" s="44" t="s">
        <v>178</v>
      </c>
      <c r="C4" s="47" t="str">
        <f>IFERROR(__xludf.DUMMYFUNCTION("""COMPUTED_VALUE"""),"ngnghia021204@gmail.com")</f>
        <v>ngnghia021204@gmail.com</v>
      </c>
      <c r="D4" s="50">
        <v>60.0</v>
      </c>
      <c r="E4" s="47">
        <f>IFERROR(__xludf.DUMMYFUNCTION("""COMPUTED_VALUE"""),100.0)</f>
        <v>100</v>
      </c>
      <c r="G4" s="43" t="s">
        <v>179</v>
      </c>
      <c r="H4" s="48">
        <v>5.0</v>
      </c>
      <c r="I4" s="43">
        <v>2.0</v>
      </c>
      <c r="K4" s="44" t="s">
        <v>179</v>
      </c>
      <c r="L4" s="47">
        <v>2.0</v>
      </c>
      <c r="M4" s="47">
        <v>4.0</v>
      </c>
      <c r="O4" s="44" t="s">
        <v>179</v>
      </c>
      <c r="P4" s="44">
        <v>2.0</v>
      </c>
      <c r="Q4" s="44">
        <v>2.0</v>
      </c>
      <c r="S4" s="44">
        <v>3.0</v>
      </c>
      <c r="T4" s="47">
        <f>IFERROR(__xludf.DUMMYFUNCTION("""COMPUTED_VALUE"""),7.0)</f>
        <v>7</v>
      </c>
      <c r="U4" s="47">
        <f>IFERROR(__xludf.DUMMYFUNCTION("""COMPUTED_VALUE"""),9.0)</f>
        <v>9</v>
      </c>
      <c r="W4" s="44">
        <v>3.0</v>
      </c>
      <c r="X4" s="47">
        <f>IFERROR(__xludf.DUMMYFUNCTION("""COMPUTED_VALUE"""),15.0)</f>
        <v>15</v>
      </c>
      <c r="Y4" s="47">
        <f>IFERROR(__xludf.DUMMYFUNCTION("""COMPUTED_VALUE"""),13.0)</f>
        <v>13</v>
      </c>
      <c r="AA4" s="45" t="s">
        <v>180</v>
      </c>
      <c r="AB4" s="49">
        <f>IFERROR(__xludf.DUMMYFUNCTION("""COMPUTED_VALUE"""),0.0)</f>
        <v>0</v>
      </c>
      <c r="AC4" s="49">
        <f>IFERROR(__xludf.DUMMYFUNCTION("""COMPUTED_VALUE"""),1.0)</f>
        <v>1</v>
      </c>
      <c r="AD4" s="49">
        <f>IFERROR(__xludf.DUMMYFUNCTION("""COMPUTED_VALUE"""),2.0)</f>
        <v>2</v>
      </c>
      <c r="AE4" s="49">
        <f>IFERROR(__xludf.DUMMYFUNCTION("""COMPUTED_VALUE"""),2.0)</f>
        <v>2</v>
      </c>
      <c r="AF4" s="49">
        <f>IFERROR(__xludf.DUMMYFUNCTION("""COMPUTED_VALUE"""),6.0)</f>
        <v>6</v>
      </c>
    </row>
    <row r="5">
      <c r="A5" s="43" t="s">
        <v>181</v>
      </c>
      <c r="B5" s="44" t="s">
        <v>182</v>
      </c>
      <c r="C5" s="47" t="str">
        <f>IFERROR(__xludf.DUMMYFUNCTION("""COMPUTED_VALUE"""),"teomachine0@gmail.com")</f>
        <v>teomachine0@gmail.com</v>
      </c>
      <c r="D5" s="47">
        <v>105.0</v>
      </c>
      <c r="E5" s="47">
        <f>IFERROR(__xludf.DUMMYFUNCTION("""COMPUTED_VALUE"""),110.0)</f>
        <v>110</v>
      </c>
      <c r="G5" s="43" t="s">
        <v>183</v>
      </c>
      <c r="H5" s="48">
        <v>2.0</v>
      </c>
      <c r="I5" s="43">
        <v>8.0</v>
      </c>
      <c r="K5" s="44" t="s">
        <v>183</v>
      </c>
      <c r="L5" s="47">
        <v>10.0</v>
      </c>
      <c r="M5" s="47">
        <v>10.0</v>
      </c>
      <c r="O5" s="44" t="s">
        <v>183</v>
      </c>
      <c r="P5" s="44">
        <v>6.0</v>
      </c>
      <c r="Q5" s="44">
        <v>8.0</v>
      </c>
      <c r="S5" s="44">
        <v>4.0</v>
      </c>
      <c r="T5" s="47">
        <f>IFERROR(__xludf.DUMMYFUNCTION("""COMPUTED_VALUE"""),8.0)</f>
        <v>8</v>
      </c>
      <c r="U5" s="47">
        <f>IFERROR(__xludf.DUMMYFUNCTION("""COMPUTED_VALUE"""),8.0)</f>
        <v>8</v>
      </c>
      <c r="W5" s="44">
        <v>4.0</v>
      </c>
      <c r="X5" s="47">
        <f>IFERROR(__xludf.DUMMYFUNCTION("""COMPUTED_VALUE"""),19.0)</f>
        <v>19</v>
      </c>
      <c r="Y5" s="47">
        <f>IFERROR(__xludf.DUMMYFUNCTION("""COMPUTED_VALUE"""),11.0)</f>
        <v>11</v>
      </c>
      <c r="AA5" s="45" t="s">
        <v>184</v>
      </c>
      <c r="AB5" s="49">
        <f>IFERROR(__xludf.DUMMYFUNCTION("""COMPUTED_VALUE"""),2.0)</f>
        <v>2</v>
      </c>
      <c r="AC5" s="49">
        <f>IFERROR(__xludf.DUMMYFUNCTION("""COMPUTED_VALUE"""),2.0)</f>
        <v>2</v>
      </c>
      <c r="AD5" s="49">
        <f>IFERROR(__xludf.DUMMYFUNCTION("""COMPUTED_VALUE"""),3.0)</f>
        <v>3</v>
      </c>
      <c r="AE5" s="49">
        <f>IFERROR(__xludf.DUMMYFUNCTION("""COMPUTED_VALUE"""),1.0)</f>
        <v>1</v>
      </c>
      <c r="AF5" s="49">
        <f>IFERROR(__xludf.DUMMYFUNCTION("""COMPUTED_VALUE"""),3.0)</f>
        <v>3</v>
      </c>
    </row>
    <row r="6">
      <c r="A6" s="43" t="s">
        <v>185</v>
      </c>
      <c r="B6" s="44" t="s">
        <v>186</v>
      </c>
      <c r="C6" s="47" t="str">
        <f>IFERROR(__xludf.DUMMYFUNCTION("""COMPUTED_VALUE"""),"1846colh1093@gmail.com")</f>
        <v>1846colh1093@gmail.com</v>
      </c>
      <c r="D6" s="47">
        <v>120.0</v>
      </c>
      <c r="E6" s="47">
        <f>IFERROR(__xludf.DUMMYFUNCTION("""COMPUTED_VALUE"""),120.0)</f>
        <v>120</v>
      </c>
      <c r="S6" s="44">
        <v>5.0</v>
      </c>
      <c r="T6" s="47">
        <f>IFERROR(__xludf.DUMMYFUNCTION("""COMPUTED_VALUE"""),34.0)</f>
        <v>34</v>
      </c>
      <c r="U6" s="47">
        <f>IFERROR(__xludf.DUMMYFUNCTION("""COMPUTED_VALUE"""),37.0)</f>
        <v>37</v>
      </c>
      <c r="W6" s="44">
        <v>5.0</v>
      </c>
      <c r="X6" s="47">
        <f>IFERROR(__xludf.DUMMYFUNCTION("""COMPUTED_VALUE"""),34.0)</f>
        <v>34</v>
      </c>
      <c r="Y6" s="47">
        <f>IFERROR(__xludf.DUMMYFUNCTION("""COMPUTED_VALUE"""),44.0)</f>
        <v>44</v>
      </c>
      <c r="AA6" s="45" t="s">
        <v>187</v>
      </c>
      <c r="AB6" s="49">
        <f>IFERROR(__xludf.DUMMYFUNCTION("""COMPUTED_VALUE"""),2.0)</f>
        <v>2</v>
      </c>
      <c r="AC6" s="49">
        <f>IFERROR(__xludf.DUMMYFUNCTION("""COMPUTED_VALUE"""),1.0)</f>
        <v>1</v>
      </c>
      <c r="AD6" s="49">
        <f>IFERROR(__xludf.DUMMYFUNCTION("""COMPUTED_VALUE"""),3.0)</f>
        <v>3</v>
      </c>
      <c r="AE6" s="49">
        <f>IFERROR(__xludf.DUMMYFUNCTION("""COMPUTED_VALUE"""),1.0)</f>
        <v>1</v>
      </c>
      <c r="AF6" s="49">
        <f>IFERROR(__xludf.DUMMYFUNCTION("""COMPUTED_VALUE"""),4.0)</f>
        <v>4</v>
      </c>
    </row>
    <row r="7">
      <c r="A7" s="43" t="s">
        <v>188</v>
      </c>
      <c r="B7" s="44" t="s">
        <v>189</v>
      </c>
      <c r="C7" s="47" t="str">
        <f>IFERROR(__xludf.DUMMYFUNCTION("""COMPUTED_VALUE"""),"phantrungducnguyen@gmail.com")</f>
        <v>phantrungducnguyen@gmail.com</v>
      </c>
      <c r="D7" s="47">
        <v>105.0</v>
      </c>
      <c r="E7" s="47">
        <f>IFERROR(__xludf.DUMMYFUNCTION("""COMPUTED_VALUE"""),120.0)</f>
        <v>120</v>
      </c>
      <c r="G7" s="51" t="s">
        <v>190</v>
      </c>
      <c r="K7" s="51" t="s">
        <v>191</v>
      </c>
      <c r="O7" s="51" t="s">
        <v>191</v>
      </c>
      <c r="AA7" s="45" t="s">
        <v>192</v>
      </c>
      <c r="AB7" s="49">
        <f>IFERROR(__xludf.DUMMYFUNCTION("""COMPUTED_VALUE"""),1.0)</f>
        <v>1</v>
      </c>
      <c r="AC7" s="49">
        <f>IFERROR(__xludf.DUMMYFUNCTION("""COMPUTED_VALUE"""),2.0)</f>
        <v>2</v>
      </c>
      <c r="AD7" s="49">
        <f>IFERROR(__xludf.DUMMYFUNCTION("""COMPUTED_VALUE"""),1.0)</f>
        <v>1</v>
      </c>
      <c r="AE7" s="49">
        <f>IFERROR(__xludf.DUMMYFUNCTION("""COMPUTED_VALUE"""),2.0)</f>
        <v>2</v>
      </c>
      <c r="AF7" s="49">
        <f>IFERROR(__xludf.DUMMYFUNCTION("""COMPUTED_VALUE"""),5.0)</f>
        <v>5</v>
      </c>
    </row>
    <row r="8">
      <c r="A8" s="43" t="s">
        <v>193</v>
      </c>
      <c r="B8" s="44" t="s">
        <v>194</v>
      </c>
      <c r="C8" s="47" t="str">
        <f>IFERROR(__xludf.DUMMYFUNCTION("""COMPUTED_VALUE"""),"nguyencongloiero112233@gmail.com")</f>
        <v>nguyencongloiero112233@gmail.com</v>
      </c>
      <c r="D8" s="47">
        <v>90.0</v>
      </c>
      <c r="E8" s="47">
        <f>IFERROR(__xludf.DUMMYFUNCTION("""COMPUTED_VALUE"""),110.0)</f>
        <v>110</v>
      </c>
      <c r="AA8" s="45" t="s">
        <v>195</v>
      </c>
      <c r="AB8" s="49">
        <f>IFERROR(__xludf.DUMMYFUNCTION("""COMPUTED_VALUE"""),0.0)</f>
        <v>0</v>
      </c>
      <c r="AC8" s="49">
        <f>IFERROR(__xludf.DUMMYFUNCTION("""COMPUTED_VALUE"""),1.0)</f>
        <v>1</v>
      </c>
      <c r="AD8" s="49">
        <f>IFERROR(__xludf.DUMMYFUNCTION("""COMPUTED_VALUE"""),0.0)</f>
        <v>0</v>
      </c>
      <c r="AE8" s="49">
        <f>IFERROR(__xludf.DUMMYFUNCTION("""COMPUTED_VALUE"""),4.0)</f>
        <v>4</v>
      </c>
      <c r="AF8" s="49">
        <f>IFERROR(__xludf.DUMMYFUNCTION("""COMPUTED_VALUE"""),6.0)</f>
        <v>6</v>
      </c>
    </row>
    <row r="9">
      <c r="A9" s="43" t="s">
        <v>196</v>
      </c>
      <c r="B9" s="44" t="s">
        <v>197</v>
      </c>
      <c r="C9" s="47" t="str">
        <f>IFERROR(__xludf.DUMMYFUNCTION("""COMPUTED_VALUE"""),"truongchiminh2k4@gmail.com")</f>
        <v>truongchiminh2k4@gmail.com</v>
      </c>
      <c r="D9" s="47">
        <v>90.0</v>
      </c>
      <c r="E9" s="47">
        <f>IFERROR(__xludf.DUMMYFUNCTION("""COMPUTED_VALUE"""),120.0)</f>
        <v>120</v>
      </c>
      <c r="AA9" s="45" t="s">
        <v>198</v>
      </c>
      <c r="AB9" s="49">
        <f>IFERROR(__xludf.DUMMYFUNCTION("""COMPUTED_VALUE"""),0.0)</f>
        <v>0</v>
      </c>
      <c r="AC9" s="49">
        <f>IFERROR(__xludf.DUMMYFUNCTION("""COMPUTED_VALUE"""),0.0)</f>
        <v>0</v>
      </c>
      <c r="AD9" s="49">
        <f>IFERROR(__xludf.DUMMYFUNCTION("""COMPUTED_VALUE"""),1.0)</f>
        <v>1</v>
      </c>
      <c r="AE9" s="49">
        <f>IFERROR(__xludf.DUMMYFUNCTION("""COMPUTED_VALUE"""),3.0)</f>
        <v>3</v>
      </c>
      <c r="AF9" s="49">
        <f>IFERROR(__xludf.DUMMYFUNCTION("""COMPUTED_VALUE"""),7.0)</f>
        <v>7</v>
      </c>
    </row>
    <row r="10">
      <c r="A10" s="43" t="s">
        <v>199</v>
      </c>
      <c r="B10" s="44" t="s">
        <v>200</v>
      </c>
      <c r="C10" s="47" t="str">
        <f>IFERROR(__xludf.DUMMYFUNCTION("""COMPUTED_VALUE"""),"akhaclinh123@gmail.com")</f>
        <v>akhaclinh123@gmail.com</v>
      </c>
      <c r="D10" s="47">
        <v>60.0</v>
      </c>
      <c r="E10" s="47">
        <f>IFERROR(__xludf.DUMMYFUNCTION("""COMPUTED_VALUE"""),110.0)</f>
        <v>110</v>
      </c>
      <c r="AA10" s="45" t="s">
        <v>201</v>
      </c>
      <c r="AB10" s="49">
        <f>IFERROR(__xludf.DUMMYFUNCTION("""COMPUTED_VALUE"""),0.0)</f>
        <v>0</v>
      </c>
      <c r="AC10" s="49">
        <f>IFERROR(__xludf.DUMMYFUNCTION("""COMPUTED_VALUE"""),0.0)</f>
        <v>0</v>
      </c>
      <c r="AD10" s="49">
        <f>IFERROR(__xludf.DUMMYFUNCTION("""COMPUTED_VALUE"""),4.0)</f>
        <v>4</v>
      </c>
      <c r="AE10" s="49">
        <f>IFERROR(__xludf.DUMMYFUNCTION("""COMPUTED_VALUE"""),0.0)</f>
        <v>0</v>
      </c>
      <c r="AF10" s="49">
        <f>IFERROR(__xludf.DUMMYFUNCTION("""COMPUTED_VALUE"""),7.0)</f>
        <v>7</v>
      </c>
    </row>
    <row r="11">
      <c r="A11" s="43" t="s">
        <v>202</v>
      </c>
      <c r="B11" s="44" t="s">
        <v>203</v>
      </c>
      <c r="C11" s="47" t="str">
        <f>IFERROR(__xludf.DUMMYFUNCTION("""COMPUTED_VALUE"""),"phuclion2013@gmail.com")</f>
        <v>phuclion2013@gmail.com</v>
      </c>
      <c r="D11" s="47">
        <v>45.0</v>
      </c>
      <c r="E11" s="50">
        <f>IFERROR(__xludf.DUMMYFUNCTION("""COMPUTED_VALUE"""),80.0)</f>
        <v>80</v>
      </c>
      <c r="AA11" s="45" t="s">
        <v>204</v>
      </c>
      <c r="AB11" s="49">
        <f>IFERROR(__xludf.DUMMYFUNCTION("""COMPUTED_VALUE"""),1.0)</f>
        <v>1</v>
      </c>
      <c r="AC11" s="49">
        <f>IFERROR(__xludf.DUMMYFUNCTION("""COMPUTED_VALUE"""),1.0)</f>
        <v>1</v>
      </c>
      <c r="AD11" s="49">
        <f>IFERROR(__xludf.DUMMYFUNCTION("""COMPUTED_VALUE"""),1.0)</f>
        <v>1</v>
      </c>
      <c r="AE11" s="49">
        <f>IFERROR(__xludf.DUMMYFUNCTION("""COMPUTED_VALUE"""),2.0)</f>
        <v>2</v>
      </c>
      <c r="AF11" s="49">
        <f>IFERROR(__xludf.DUMMYFUNCTION("""COMPUTED_VALUE"""),6.0)</f>
        <v>6</v>
      </c>
    </row>
    <row r="12">
      <c r="A12" s="43" t="s">
        <v>205</v>
      </c>
      <c r="B12" s="44" t="s">
        <v>206</v>
      </c>
      <c r="C12" s="47" t="str">
        <f>IFERROR(__xludf.DUMMYFUNCTION("""COMPUTED_VALUE"""),"chiennguyentranthanh123@gmail.com")</f>
        <v>chiennguyentranthanh123@gmail.com</v>
      </c>
      <c r="D12" s="47">
        <v>120.0</v>
      </c>
      <c r="E12" s="47">
        <f>IFERROR(__xludf.DUMMYFUNCTION("""COMPUTED_VALUE"""),110.0)</f>
        <v>110</v>
      </c>
    </row>
    <row r="13">
      <c r="D13" s="52"/>
      <c r="E13" s="52"/>
    </row>
    <row r="14">
      <c r="D14" s="52"/>
      <c r="E14" s="52"/>
      <c r="H14" s="53" t="s">
        <v>207</v>
      </c>
      <c r="O14" s="53" t="s">
        <v>208</v>
      </c>
    </row>
    <row r="15">
      <c r="D15" s="52"/>
      <c r="E15" s="52"/>
    </row>
    <row r="16">
      <c r="D16" s="52"/>
      <c r="E16" s="52"/>
    </row>
    <row r="17">
      <c r="D17" s="52"/>
      <c r="E17" s="52"/>
    </row>
    <row r="18">
      <c r="D18" s="52"/>
      <c r="E18" s="52"/>
      <c r="H18" s="54"/>
    </row>
    <row r="19">
      <c r="D19" s="52"/>
      <c r="E19" s="52"/>
    </row>
    <row r="20">
      <c r="D20" s="52"/>
      <c r="E20" s="52"/>
    </row>
    <row r="21">
      <c r="D21" s="52"/>
      <c r="E21" s="52"/>
    </row>
    <row r="22">
      <c r="D22" s="52"/>
      <c r="E22" s="52"/>
    </row>
    <row r="23">
      <c r="D23" s="52"/>
      <c r="E23" s="52"/>
    </row>
    <row r="24">
      <c r="D24" s="52"/>
      <c r="E24" s="52"/>
    </row>
    <row r="25">
      <c r="D25" s="52"/>
      <c r="E25" s="52"/>
    </row>
    <row r="26">
      <c r="D26" s="52"/>
      <c r="E26" s="52"/>
    </row>
    <row r="27">
      <c r="D27" s="52"/>
      <c r="E27" s="52"/>
    </row>
    <row r="28">
      <c r="D28" s="52"/>
      <c r="E28" s="52"/>
    </row>
    <row r="29">
      <c r="D29" s="52"/>
      <c r="E29" s="52"/>
    </row>
    <row r="30">
      <c r="D30" s="52"/>
      <c r="E30" s="52"/>
    </row>
    <row r="31">
      <c r="D31" s="52"/>
      <c r="E31" s="52"/>
    </row>
    <row r="32">
      <c r="D32" s="52"/>
      <c r="E32" s="52"/>
    </row>
    <row r="33">
      <c r="D33" s="52"/>
      <c r="E33" s="52"/>
    </row>
    <row r="34">
      <c r="D34" s="52"/>
      <c r="E34" s="52"/>
    </row>
    <row r="35">
      <c r="D35" s="52"/>
      <c r="E35" s="52"/>
      <c r="H35" s="53" t="s">
        <v>209</v>
      </c>
      <c r="J35" s="55" t="s">
        <v>210</v>
      </c>
      <c r="N35" s="53" t="s">
        <v>211</v>
      </c>
      <c r="U35" s="53" t="s">
        <v>212</v>
      </c>
    </row>
    <row r="36">
      <c r="D36" s="52"/>
      <c r="E36" s="52"/>
      <c r="H36" s="56"/>
    </row>
    <row r="37">
      <c r="D37" s="52"/>
      <c r="E37" s="52"/>
    </row>
    <row r="38">
      <c r="D38" s="52"/>
      <c r="E38" s="52"/>
    </row>
    <row r="39">
      <c r="D39" s="52"/>
      <c r="E39" s="52"/>
    </row>
    <row r="40">
      <c r="D40" s="52"/>
      <c r="E40" s="52"/>
    </row>
    <row r="41">
      <c r="D41" s="52"/>
      <c r="E41" s="52"/>
    </row>
    <row r="42">
      <c r="D42" s="52"/>
      <c r="E42" s="52"/>
    </row>
    <row r="43">
      <c r="D43" s="52"/>
      <c r="E43" s="52"/>
    </row>
    <row r="44">
      <c r="D44" s="52"/>
      <c r="E44" s="52"/>
    </row>
    <row r="45">
      <c r="D45" s="52"/>
      <c r="E45" s="52"/>
    </row>
    <row r="46">
      <c r="D46" s="52"/>
      <c r="E46" s="52"/>
    </row>
    <row r="47">
      <c r="D47" s="52"/>
      <c r="E47" s="52"/>
    </row>
    <row r="48">
      <c r="D48" s="52"/>
      <c r="E48" s="52"/>
    </row>
    <row r="49">
      <c r="D49" s="52"/>
      <c r="E49" s="52"/>
    </row>
    <row r="50">
      <c r="D50" s="52"/>
      <c r="E50" s="52"/>
    </row>
    <row r="51">
      <c r="D51" s="52"/>
      <c r="E51" s="52"/>
    </row>
    <row r="52">
      <c r="D52" s="52"/>
      <c r="E52" s="52"/>
    </row>
    <row r="53">
      <c r="D53" s="52"/>
      <c r="E53" s="52"/>
    </row>
    <row r="54">
      <c r="D54" s="52"/>
      <c r="E54" s="52"/>
    </row>
    <row r="55">
      <c r="D55" s="52"/>
      <c r="E55" s="52"/>
    </row>
    <row r="56">
      <c r="D56" s="52"/>
      <c r="E56" s="52"/>
    </row>
    <row r="57">
      <c r="D57" s="52"/>
      <c r="E57" s="52"/>
    </row>
    <row r="58">
      <c r="D58" s="52"/>
      <c r="E58" s="52"/>
    </row>
    <row r="59">
      <c r="D59" s="52"/>
      <c r="E59" s="52"/>
    </row>
    <row r="60">
      <c r="D60" s="52"/>
      <c r="E60" s="52"/>
    </row>
    <row r="61">
      <c r="D61" s="52"/>
      <c r="E61" s="52"/>
    </row>
    <row r="62">
      <c r="D62" s="52"/>
      <c r="E62" s="52"/>
    </row>
    <row r="63">
      <c r="D63" s="52"/>
      <c r="E63" s="52"/>
    </row>
    <row r="64">
      <c r="D64" s="52"/>
      <c r="E64" s="52"/>
    </row>
    <row r="65">
      <c r="D65" s="52"/>
      <c r="E65" s="52"/>
    </row>
    <row r="66">
      <c r="D66" s="52"/>
      <c r="E66" s="52"/>
    </row>
    <row r="67">
      <c r="D67" s="52"/>
      <c r="E67" s="52"/>
    </row>
    <row r="68">
      <c r="D68" s="52"/>
      <c r="E68" s="52"/>
    </row>
    <row r="69">
      <c r="D69" s="52"/>
      <c r="E69" s="52"/>
    </row>
    <row r="70">
      <c r="D70" s="52"/>
      <c r="E70" s="52"/>
    </row>
    <row r="71">
      <c r="D71" s="52"/>
      <c r="E71" s="52"/>
    </row>
    <row r="72">
      <c r="D72" s="52"/>
      <c r="E72" s="52"/>
    </row>
    <row r="73">
      <c r="D73" s="52"/>
      <c r="E73" s="52"/>
    </row>
    <row r="74">
      <c r="D74" s="52"/>
      <c r="E74" s="52"/>
    </row>
    <row r="75">
      <c r="D75" s="52"/>
      <c r="E75" s="52"/>
    </row>
    <row r="76">
      <c r="D76" s="52"/>
      <c r="E76" s="52"/>
    </row>
    <row r="77">
      <c r="D77" s="52"/>
      <c r="E77" s="52"/>
    </row>
    <row r="78">
      <c r="D78" s="52"/>
      <c r="E78" s="52"/>
    </row>
    <row r="79">
      <c r="D79" s="52"/>
      <c r="E79" s="52"/>
    </row>
    <row r="80">
      <c r="D80" s="52"/>
      <c r="E80" s="52"/>
    </row>
    <row r="81">
      <c r="D81" s="52"/>
      <c r="E81" s="52"/>
    </row>
    <row r="82">
      <c r="D82" s="52"/>
      <c r="E82" s="52"/>
    </row>
    <row r="83">
      <c r="D83" s="52"/>
      <c r="E83" s="52"/>
    </row>
    <row r="84">
      <c r="D84" s="52"/>
      <c r="E84" s="52"/>
    </row>
    <row r="85">
      <c r="D85" s="52"/>
      <c r="E85" s="52"/>
    </row>
    <row r="86">
      <c r="D86" s="52"/>
      <c r="E86" s="52"/>
    </row>
    <row r="87">
      <c r="D87" s="52"/>
      <c r="E87" s="52"/>
    </row>
    <row r="88">
      <c r="D88" s="52"/>
      <c r="E88" s="52"/>
    </row>
    <row r="89">
      <c r="D89" s="52"/>
      <c r="E89" s="52"/>
    </row>
    <row r="90">
      <c r="D90" s="52"/>
      <c r="E90" s="52"/>
    </row>
    <row r="91">
      <c r="D91" s="52"/>
      <c r="E91" s="52"/>
    </row>
    <row r="92">
      <c r="D92" s="52"/>
      <c r="E92" s="52"/>
    </row>
    <row r="93">
      <c r="D93" s="52"/>
      <c r="E93" s="52"/>
    </row>
    <row r="94">
      <c r="D94" s="52"/>
      <c r="E94" s="52"/>
    </row>
    <row r="95">
      <c r="D95" s="52"/>
      <c r="E95" s="52"/>
    </row>
    <row r="96">
      <c r="D96" s="52"/>
      <c r="E96" s="52"/>
    </row>
    <row r="97">
      <c r="D97" s="52"/>
      <c r="E97" s="52"/>
    </row>
    <row r="98">
      <c r="D98" s="52"/>
      <c r="E98" s="52"/>
    </row>
    <row r="99">
      <c r="D99" s="52"/>
      <c r="E99" s="52"/>
    </row>
    <row r="100">
      <c r="D100" s="52"/>
      <c r="E100" s="52"/>
    </row>
    <row r="101">
      <c r="D101" s="52"/>
      <c r="E101" s="52"/>
    </row>
    <row r="102">
      <c r="D102" s="52"/>
      <c r="E102" s="52"/>
    </row>
    <row r="103">
      <c r="D103" s="52"/>
      <c r="E103" s="52"/>
    </row>
    <row r="104">
      <c r="D104" s="52"/>
      <c r="E104" s="52"/>
    </row>
    <row r="105">
      <c r="D105" s="52"/>
      <c r="E105" s="52"/>
    </row>
    <row r="106">
      <c r="D106" s="52"/>
      <c r="E106" s="52"/>
    </row>
    <row r="107">
      <c r="D107" s="52"/>
      <c r="E107" s="52"/>
    </row>
    <row r="108">
      <c r="D108" s="52"/>
      <c r="E108" s="52"/>
    </row>
    <row r="109">
      <c r="D109" s="52"/>
      <c r="E109" s="52"/>
    </row>
    <row r="110">
      <c r="D110" s="52"/>
      <c r="E110" s="52"/>
    </row>
    <row r="111">
      <c r="D111" s="52"/>
      <c r="E111" s="52"/>
    </row>
    <row r="112">
      <c r="D112" s="52"/>
      <c r="E112" s="52"/>
    </row>
    <row r="113">
      <c r="D113" s="52"/>
      <c r="E113" s="52"/>
    </row>
    <row r="114">
      <c r="D114" s="52"/>
      <c r="E114" s="52"/>
    </row>
    <row r="115">
      <c r="D115" s="52"/>
      <c r="E115" s="52"/>
    </row>
    <row r="116">
      <c r="D116" s="52"/>
      <c r="E116" s="52"/>
    </row>
    <row r="117">
      <c r="D117" s="52"/>
      <c r="E117" s="52"/>
    </row>
    <row r="118">
      <c r="D118" s="52"/>
      <c r="E118" s="52"/>
    </row>
    <row r="119">
      <c r="D119" s="52"/>
      <c r="E119" s="52"/>
    </row>
    <row r="120">
      <c r="D120" s="52"/>
      <c r="E120" s="52"/>
    </row>
    <row r="121">
      <c r="D121" s="52"/>
      <c r="E121" s="52"/>
    </row>
    <row r="122">
      <c r="D122" s="52"/>
      <c r="E122" s="52"/>
    </row>
    <row r="123">
      <c r="D123" s="52"/>
      <c r="E123" s="52"/>
    </row>
    <row r="124">
      <c r="D124" s="52"/>
      <c r="E124" s="52"/>
    </row>
    <row r="125">
      <c r="D125" s="52"/>
      <c r="E125" s="52"/>
    </row>
    <row r="126">
      <c r="D126" s="52"/>
      <c r="E126" s="52"/>
    </row>
    <row r="127">
      <c r="D127" s="52"/>
      <c r="E127" s="52"/>
    </row>
    <row r="128">
      <c r="D128" s="52"/>
      <c r="E128" s="52"/>
    </row>
    <row r="129">
      <c r="D129" s="52"/>
      <c r="E129" s="52"/>
    </row>
    <row r="130">
      <c r="D130" s="52"/>
      <c r="E130" s="52"/>
    </row>
    <row r="131">
      <c r="D131" s="52"/>
      <c r="E131" s="52"/>
    </row>
    <row r="132">
      <c r="D132" s="52"/>
      <c r="E132" s="52"/>
    </row>
    <row r="133">
      <c r="D133" s="52"/>
      <c r="E133" s="52"/>
    </row>
    <row r="134">
      <c r="D134" s="52"/>
      <c r="E134" s="52"/>
    </row>
    <row r="135">
      <c r="D135" s="52"/>
      <c r="E135" s="52"/>
    </row>
    <row r="136">
      <c r="D136" s="52"/>
      <c r="E136" s="52"/>
    </row>
    <row r="137">
      <c r="D137" s="52"/>
      <c r="E137" s="52"/>
    </row>
    <row r="138">
      <c r="D138" s="52"/>
      <c r="E138" s="52"/>
    </row>
    <row r="139">
      <c r="D139" s="52"/>
      <c r="E139" s="52"/>
    </row>
    <row r="140">
      <c r="D140" s="52"/>
      <c r="E140" s="52"/>
    </row>
    <row r="141">
      <c r="D141" s="52"/>
      <c r="E141" s="52"/>
    </row>
    <row r="142">
      <c r="D142" s="52"/>
      <c r="E142" s="52"/>
    </row>
    <row r="143">
      <c r="D143" s="52"/>
      <c r="E143" s="52"/>
    </row>
    <row r="144">
      <c r="D144" s="52"/>
      <c r="E144" s="52"/>
    </row>
    <row r="145">
      <c r="D145" s="52"/>
      <c r="E145" s="52"/>
    </row>
    <row r="146">
      <c r="D146" s="52"/>
      <c r="E146" s="52"/>
    </row>
    <row r="147">
      <c r="D147" s="52"/>
      <c r="E147" s="52"/>
    </row>
    <row r="148">
      <c r="D148" s="52"/>
      <c r="E148" s="52"/>
    </row>
    <row r="149">
      <c r="D149" s="52"/>
      <c r="E149" s="52"/>
    </row>
    <row r="150">
      <c r="D150" s="52"/>
      <c r="E150" s="52"/>
    </row>
    <row r="151">
      <c r="D151" s="52"/>
      <c r="E151" s="52"/>
    </row>
    <row r="152">
      <c r="D152" s="52"/>
      <c r="E152" s="52"/>
    </row>
    <row r="153">
      <c r="D153" s="52"/>
      <c r="E153" s="52"/>
    </row>
    <row r="154">
      <c r="D154" s="52"/>
      <c r="E154" s="52"/>
    </row>
    <row r="155">
      <c r="D155" s="52"/>
      <c r="E155" s="52"/>
    </row>
    <row r="156">
      <c r="D156" s="52"/>
      <c r="E156" s="52"/>
    </row>
    <row r="157">
      <c r="D157" s="52"/>
      <c r="E157" s="52"/>
    </row>
    <row r="158">
      <c r="D158" s="52"/>
      <c r="E158" s="52"/>
    </row>
    <row r="159">
      <c r="D159" s="52"/>
      <c r="E159" s="52"/>
    </row>
    <row r="160">
      <c r="D160" s="52"/>
      <c r="E160" s="52"/>
    </row>
    <row r="161">
      <c r="D161" s="52"/>
      <c r="E161" s="52"/>
    </row>
    <row r="162">
      <c r="D162" s="52"/>
      <c r="E162" s="52"/>
    </row>
    <row r="163">
      <c r="D163" s="52"/>
      <c r="E163" s="52"/>
    </row>
    <row r="164">
      <c r="D164" s="52"/>
      <c r="E164" s="52"/>
    </row>
    <row r="165">
      <c r="D165" s="52"/>
      <c r="E165" s="52"/>
    </row>
    <row r="166">
      <c r="D166" s="52"/>
      <c r="E166" s="52"/>
    </row>
    <row r="167">
      <c r="D167" s="52"/>
      <c r="E167" s="52"/>
    </row>
    <row r="168">
      <c r="D168" s="52"/>
      <c r="E168" s="52"/>
    </row>
    <row r="169">
      <c r="D169" s="52"/>
      <c r="E169" s="52"/>
    </row>
    <row r="170">
      <c r="D170" s="52"/>
      <c r="E170" s="52"/>
    </row>
    <row r="171">
      <c r="D171" s="52"/>
      <c r="E171" s="52"/>
    </row>
    <row r="172">
      <c r="D172" s="52"/>
      <c r="E172" s="52"/>
    </row>
    <row r="173">
      <c r="D173" s="52"/>
      <c r="E173" s="52"/>
    </row>
    <row r="174">
      <c r="D174" s="52"/>
      <c r="E174" s="52"/>
    </row>
    <row r="175">
      <c r="D175" s="52"/>
      <c r="E175" s="52"/>
    </row>
    <row r="176">
      <c r="D176" s="52"/>
      <c r="E176" s="52"/>
    </row>
    <row r="177">
      <c r="D177" s="52"/>
      <c r="E177" s="52"/>
    </row>
    <row r="178">
      <c r="D178" s="52"/>
      <c r="E178" s="52"/>
    </row>
    <row r="179">
      <c r="D179" s="52"/>
      <c r="E179" s="52"/>
    </row>
    <row r="180">
      <c r="D180" s="52"/>
      <c r="E180" s="52"/>
    </row>
    <row r="181">
      <c r="D181" s="52"/>
      <c r="E181" s="52"/>
    </row>
    <row r="182">
      <c r="D182" s="52"/>
      <c r="E182" s="52"/>
    </row>
    <row r="183">
      <c r="D183" s="52"/>
      <c r="E183" s="52"/>
    </row>
    <row r="184">
      <c r="D184" s="52"/>
      <c r="E184" s="52"/>
    </row>
    <row r="185">
      <c r="D185" s="52"/>
      <c r="E185" s="52"/>
    </row>
    <row r="186">
      <c r="D186" s="52"/>
      <c r="E186" s="52"/>
    </row>
    <row r="187">
      <c r="D187" s="52"/>
      <c r="E187" s="52"/>
    </row>
    <row r="188">
      <c r="D188" s="52"/>
      <c r="E188" s="52"/>
    </row>
    <row r="189">
      <c r="D189" s="52"/>
      <c r="E189" s="52"/>
    </row>
    <row r="190">
      <c r="D190" s="52"/>
      <c r="E190" s="52"/>
    </row>
    <row r="191">
      <c r="D191" s="52"/>
      <c r="E191" s="52"/>
    </row>
    <row r="192">
      <c r="D192" s="52"/>
      <c r="E192" s="52"/>
    </row>
    <row r="193">
      <c r="D193" s="52"/>
      <c r="E193" s="52"/>
    </row>
    <row r="194">
      <c r="D194" s="52"/>
      <c r="E194" s="52"/>
    </row>
    <row r="195">
      <c r="D195" s="52"/>
      <c r="E195" s="52"/>
    </row>
    <row r="196">
      <c r="D196" s="52"/>
      <c r="E196" s="52"/>
    </row>
    <row r="197">
      <c r="D197" s="52"/>
      <c r="E197" s="52"/>
    </row>
    <row r="198">
      <c r="D198" s="52"/>
      <c r="E198" s="52"/>
    </row>
    <row r="199">
      <c r="D199" s="52"/>
      <c r="E199" s="52"/>
    </row>
    <row r="200">
      <c r="D200" s="52"/>
      <c r="E200" s="52"/>
    </row>
    <row r="201">
      <c r="D201" s="52"/>
      <c r="E201" s="52"/>
    </row>
    <row r="202">
      <c r="D202" s="52"/>
      <c r="E202" s="52"/>
    </row>
    <row r="203">
      <c r="D203" s="52"/>
      <c r="E203" s="52"/>
    </row>
    <row r="204">
      <c r="D204" s="52"/>
      <c r="E204" s="52"/>
    </row>
    <row r="205">
      <c r="D205" s="52"/>
      <c r="E205" s="52"/>
    </row>
    <row r="206">
      <c r="D206" s="52"/>
      <c r="E206" s="52"/>
    </row>
    <row r="207">
      <c r="D207" s="52"/>
      <c r="E207" s="52"/>
    </row>
    <row r="208">
      <c r="D208" s="52"/>
      <c r="E208" s="52"/>
    </row>
    <row r="209">
      <c r="D209" s="52"/>
      <c r="E209" s="52"/>
    </row>
    <row r="210">
      <c r="D210" s="52"/>
      <c r="E210" s="52"/>
    </row>
    <row r="211">
      <c r="D211" s="52"/>
      <c r="E211" s="52"/>
    </row>
    <row r="212">
      <c r="D212" s="52"/>
      <c r="E212" s="52"/>
    </row>
    <row r="213">
      <c r="D213" s="52"/>
      <c r="E213" s="52"/>
    </row>
    <row r="214">
      <c r="D214" s="52"/>
      <c r="E214" s="52"/>
    </row>
    <row r="215">
      <c r="D215" s="52"/>
      <c r="E215" s="52"/>
    </row>
    <row r="216">
      <c r="D216" s="52"/>
      <c r="E216" s="52"/>
    </row>
    <row r="217">
      <c r="D217" s="52"/>
      <c r="E217" s="52"/>
    </row>
    <row r="218">
      <c r="D218" s="52"/>
      <c r="E218" s="52"/>
    </row>
    <row r="219">
      <c r="D219" s="52"/>
      <c r="E219" s="52"/>
    </row>
    <row r="220">
      <c r="D220" s="52"/>
      <c r="E220" s="52"/>
    </row>
    <row r="221">
      <c r="D221" s="52"/>
      <c r="E221" s="52"/>
    </row>
    <row r="222">
      <c r="D222" s="52"/>
      <c r="E222" s="52"/>
    </row>
    <row r="223">
      <c r="D223" s="52"/>
      <c r="E223" s="52"/>
    </row>
    <row r="224">
      <c r="D224" s="52"/>
      <c r="E224" s="52"/>
    </row>
    <row r="225">
      <c r="D225" s="52"/>
      <c r="E225" s="52"/>
    </row>
    <row r="226">
      <c r="D226" s="52"/>
      <c r="E226" s="52"/>
    </row>
    <row r="227">
      <c r="D227" s="52"/>
      <c r="E227" s="52"/>
    </row>
    <row r="228">
      <c r="D228" s="52"/>
      <c r="E228" s="52"/>
    </row>
    <row r="229">
      <c r="D229" s="52"/>
      <c r="E229" s="52"/>
    </row>
    <row r="230">
      <c r="D230" s="52"/>
      <c r="E230" s="52"/>
    </row>
    <row r="231">
      <c r="D231" s="52"/>
      <c r="E231" s="52"/>
    </row>
    <row r="232">
      <c r="D232" s="52"/>
      <c r="E232" s="52"/>
    </row>
    <row r="233">
      <c r="D233" s="52"/>
      <c r="E233" s="52"/>
    </row>
    <row r="234">
      <c r="D234" s="52"/>
      <c r="E234" s="52"/>
    </row>
    <row r="235">
      <c r="D235" s="52"/>
      <c r="E235" s="52"/>
    </row>
    <row r="236">
      <c r="D236" s="52"/>
      <c r="E236" s="52"/>
    </row>
    <row r="237">
      <c r="D237" s="52"/>
      <c r="E237" s="52"/>
    </row>
    <row r="238">
      <c r="D238" s="52"/>
      <c r="E238" s="52"/>
    </row>
    <row r="239">
      <c r="D239" s="52"/>
      <c r="E239" s="52"/>
    </row>
    <row r="240">
      <c r="D240" s="52"/>
      <c r="E240" s="52"/>
    </row>
    <row r="241">
      <c r="D241" s="52"/>
      <c r="E241" s="52"/>
    </row>
    <row r="242">
      <c r="D242" s="52"/>
      <c r="E242" s="52"/>
    </row>
    <row r="243">
      <c r="D243" s="52"/>
      <c r="E243" s="52"/>
    </row>
    <row r="244">
      <c r="D244" s="52"/>
      <c r="E244" s="52"/>
    </row>
    <row r="245">
      <c r="D245" s="52"/>
      <c r="E245" s="52"/>
    </row>
    <row r="246">
      <c r="D246" s="52"/>
      <c r="E246" s="52"/>
    </row>
    <row r="247">
      <c r="D247" s="52"/>
      <c r="E247" s="52"/>
    </row>
    <row r="248">
      <c r="D248" s="52"/>
      <c r="E248" s="52"/>
    </row>
    <row r="249">
      <c r="D249" s="52"/>
      <c r="E249" s="52"/>
    </row>
    <row r="250">
      <c r="D250" s="52"/>
      <c r="E250" s="52"/>
    </row>
    <row r="251">
      <c r="D251" s="52"/>
      <c r="E251" s="52"/>
    </row>
    <row r="252">
      <c r="D252" s="52"/>
      <c r="E252" s="52"/>
    </row>
    <row r="253">
      <c r="D253" s="52"/>
      <c r="E253" s="52"/>
    </row>
    <row r="254">
      <c r="D254" s="52"/>
      <c r="E254" s="52"/>
    </row>
    <row r="255">
      <c r="D255" s="52"/>
      <c r="E255" s="52"/>
    </row>
    <row r="256">
      <c r="D256" s="52"/>
      <c r="E256" s="52"/>
    </row>
    <row r="257">
      <c r="D257" s="52"/>
      <c r="E257" s="52"/>
    </row>
    <row r="258">
      <c r="D258" s="52"/>
      <c r="E258" s="52"/>
    </row>
    <row r="259">
      <c r="D259" s="52"/>
      <c r="E259" s="52"/>
    </row>
    <row r="260">
      <c r="D260" s="52"/>
      <c r="E260" s="52"/>
    </row>
    <row r="261">
      <c r="D261" s="52"/>
      <c r="E261" s="52"/>
    </row>
    <row r="262">
      <c r="D262" s="52"/>
      <c r="E262" s="52"/>
    </row>
    <row r="263">
      <c r="D263" s="52"/>
      <c r="E263" s="52"/>
    </row>
    <row r="264">
      <c r="D264" s="52"/>
      <c r="E264" s="52"/>
    </row>
    <row r="265">
      <c r="D265" s="52"/>
      <c r="E265" s="52"/>
    </row>
    <row r="266">
      <c r="D266" s="52"/>
      <c r="E266" s="52"/>
    </row>
    <row r="267">
      <c r="D267" s="52"/>
      <c r="E267" s="52"/>
    </row>
    <row r="268">
      <c r="D268" s="52"/>
      <c r="E268" s="52"/>
    </row>
    <row r="269">
      <c r="D269" s="52"/>
      <c r="E269" s="52"/>
    </row>
    <row r="270">
      <c r="D270" s="52"/>
      <c r="E270" s="52"/>
    </row>
    <row r="271">
      <c r="D271" s="52"/>
      <c r="E271" s="52"/>
    </row>
    <row r="272">
      <c r="D272" s="52"/>
      <c r="E272" s="52"/>
    </row>
    <row r="273">
      <c r="D273" s="52"/>
      <c r="E273" s="52"/>
    </row>
    <row r="274">
      <c r="D274" s="52"/>
      <c r="E274" s="52"/>
    </row>
    <row r="275">
      <c r="D275" s="52"/>
      <c r="E275" s="52"/>
    </row>
    <row r="276">
      <c r="D276" s="52"/>
      <c r="E276" s="52"/>
    </row>
    <row r="277">
      <c r="D277" s="52"/>
      <c r="E277" s="52"/>
    </row>
    <row r="278">
      <c r="D278" s="52"/>
      <c r="E278" s="52"/>
    </row>
    <row r="279">
      <c r="D279" s="52"/>
      <c r="E279" s="52"/>
    </row>
    <row r="280">
      <c r="D280" s="52"/>
      <c r="E280" s="52"/>
    </row>
    <row r="281">
      <c r="D281" s="52"/>
      <c r="E281" s="52"/>
    </row>
    <row r="282">
      <c r="D282" s="52"/>
      <c r="E282" s="52"/>
    </row>
    <row r="283">
      <c r="D283" s="52"/>
      <c r="E283" s="52"/>
    </row>
    <row r="284">
      <c r="D284" s="52"/>
      <c r="E284" s="52"/>
    </row>
    <row r="285">
      <c r="D285" s="52"/>
      <c r="E285" s="52"/>
    </row>
    <row r="286">
      <c r="D286" s="52"/>
      <c r="E286" s="52"/>
    </row>
    <row r="287">
      <c r="D287" s="52"/>
      <c r="E287" s="52"/>
    </row>
    <row r="288">
      <c r="D288" s="52"/>
      <c r="E288" s="52"/>
    </row>
    <row r="289">
      <c r="D289" s="52"/>
      <c r="E289" s="52"/>
    </row>
    <row r="290">
      <c r="D290" s="52"/>
      <c r="E290" s="52"/>
    </row>
    <row r="291">
      <c r="D291" s="52"/>
      <c r="E291" s="52"/>
    </row>
    <row r="292">
      <c r="D292" s="52"/>
      <c r="E292" s="52"/>
    </row>
    <row r="293">
      <c r="D293" s="52"/>
      <c r="E293" s="52"/>
    </row>
    <row r="294">
      <c r="D294" s="52"/>
      <c r="E294" s="52"/>
    </row>
    <row r="295">
      <c r="D295" s="52"/>
      <c r="E295" s="52"/>
    </row>
    <row r="296">
      <c r="D296" s="52"/>
      <c r="E296" s="52"/>
    </row>
    <row r="297">
      <c r="D297" s="52"/>
      <c r="E297" s="52"/>
    </row>
    <row r="298">
      <c r="D298" s="52"/>
      <c r="E298" s="52"/>
    </row>
    <row r="299">
      <c r="D299" s="52"/>
      <c r="E299" s="52"/>
    </row>
    <row r="300">
      <c r="D300" s="52"/>
      <c r="E300" s="52"/>
    </row>
    <row r="301">
      <c r="D301" s="52"/>
      <c r="E301" s="52"/>
    </row>
    <row r="302">
      <c r="D302" s="52"/>
      <c r="E302" s="52"/>
    </row>
    <row r="303">
      <c r="D303" s="52"/>
      <c r="E303" s="52"/>
    </row>
    <row r="304">
      <c r="D304" s="52"/>
      <c r="E304" s="52"/>
    </row>
    <row r="305">
      <c r="D305" s="52"/>
      <c r="E305" s="52"/>
    </row>
    <row r="306">
      <c r="D306" s="52"/>
      <c r="E306" s="52"/>
    </row>
    <row r="307">
      <c r="D307" s="52"/>
      <c r="E307" s="52"/>
    </row>
    <row r="308">
      <c r="D308" s="52"/>
      <c r="E308" s="52"/>
    </row>
    <row r="309">
      <c r="D309" s="52"/>
      <c r="E309" s="52"/>
    </row>
    <row r="310">
      <c r="D310" s="52"/>
      <c r="E310" s="52"/>
    </row>
    <row r="311">
      <c r="D311" s="52"/>
      <c r="E311" s="52"/>
    </row>
    <row r="312">
      <c r="D312" s="52"/>
      <c r="E312" s="52"/>
    </row>
    <row r="313">
      <c r="D313" s="52"/>
      <c r="E313" s="52"/>
    </row>
    <row r="314">
      <c r="D314" s="52"/>
      <c r="E314" s="52"/>
    </row>
    <row r="315">
      <c r="D315" s="52"/>
      <c r="E315" s="52"/>
    </row>
    <row r="316">
      <c r="D316" s="52"/>
      <c r="E316" s="52"/>
    </row>
    <row r="317">
      <c r="D317" s="52"/>
      <c r="E317" s="52"/>
    </row>
    <row r="318">
      <c r="D318" s="52"/>
      <c r="E318" s="52"/>
    </row>
    <row r="319">
      <c r="D319" s="52"/>
      <c r="E319" s="52"/>
    </row>
    <row r="320">
      <c r="D320" s="52"/>
      <c r="E320" s="52"/>
    </row>
    <row r="321">
      <c r="D321" s="52"/>
      <c r="E321" s="52"/>
    </row>
    <row r="322">
      <c r="D322" s="52"/>
      <c r="E322" s="52"/>
    </row>
    <row r="323">
      <c r="D323" s="52"/>
      <c r="E323" s="52"/>
    </row>
    <row r="324">
      <c r="D324" s="52"/>
      <c r="E324" s="52"/>
    </row>
    <row r="325">
      <c r="D325" s="52"/>
      <c r="E325" s="52"/>
    </row>
    <row r="326">
      <c r="D326" s="52"/>
      <c r="E326" s="52"/>
    </row>
    <row r="327">
      <c r="D327" s="52"/>
      <c r="E327" s="52"/>
    </row>
    <row r="328">
      <c r="D328" s="52"/>
      <c r="E328" s="52"/>
    </row>
    <row r="329">
      <c r="D329" s="52"/>
      <c r="E329" s="52"/>
    </row>
    <row r="330">
      <c r="D330" s="52"/>
      <c r="E330" s="52"/>
    </row>
    <row r="331">
      <c r="D331" s="52"/>
      <c r="E331" s="52"/>
    </row>
    <row r="332">
      <c r="D332" s="52"/>
      <c r="E332" s="52"/>
    </row>
    <row r="333">
      <c r="D333" s="52"/>
      <c r="E333" s="52"/>
    </row>
    <row r="334">
      <c r="D334" s="52"/>
      <c r="E334" s="52"/>
    </row>
    <row r="335">
      <c r="D335" s="52"/>
      <c r="E335" s="52"/>
    </row>
    <row r="336">
      <c r="D336" s="52"/>
      <c r="E336" s="52"/>
    </row>
    <row r="337">
      <c r="D337" s="52"/>
      <c r="E337" s="52"/>
    </row>
    <row r="338">
      <c r="D338" s="52"/>
      <c r="E338" s="52"/>
    </row>
    <row r="339">
      <c r="D339" s="52"/>
      <c r="E339" s="52"/>
    </row>
    <row r="340">
      <c r="D340" s="52"/>
      <c r="E340" s="52"/>
    </row>
    <row r="341">
      <c r="D341" s="52"/>
      <c r="E341" s="52"/>
    </row>
    <row r="342">
      <c r="D342" s="52"/>
      <c r="E342" s="52"/>
    </row>
    <row r="343">
      <c r="D343" s="52"/>
      <c r="E343" s="52"/>
    </row>
    <row r="344">
      <c r="D344" s="52"/>
      <c r="E344" s="52"/>
    </row>
    <row r="345">
      <c r="D345" s="52"/>
      <c r="E345" s="52"/>
    </row>
    <row r="346">
      <c r="D346" s="52"/>
      <c r="E346" s="52"/>
    </row>
    <row r="347">
      <c r="D347" s="52"/>
      <c r="E347" s="52"/>
    </row>
    <row r="348">
      <c r="D348" s="52"/>
      <c r="E348" s="52"/>
    </row>
    <row r="349">
      <c r="D349" s="52"/>
      <c r="E349" s="52"/>
    </row>
    <row r="350">
      <c r="D350" s="52"/>
      <c r="E350" s="52"/>
    </row>
    <row r="351">
      <c r="D351" s="52"/>
      <c r="E351" s="52"/>
    </row>
    <row r="352">
      <c r="D352" s="52"/>
      <c r="E352" s="52"/>
    </row>
    <row r="353">
      <c r="D353" s="52"/>
      <c r="E353" s="52"/>
    </row>
    <row r="354">
      <c r="D354" s="52"/>
      <c r="E354" s="52"/>
    </row>
    <row r="355">
      <c r="D355" s="52"/>
      <c r="E355" s="52"/>
    </row>
    <row r="356">
      <c r="D356" s="52"/>
      <c r="E356" s="52"/>
    </row>
    <row r="357">
      <c r="D357" s="52"/>
      <c r="E357" s="52"/>
    </row>
    <row r="358">
      <c r="D358" s="52"/>
      <c r="E358" s="52"/>
    </row>
    <row r="359">
      <c r="D359" s="52"/>
      <c r="E359" s="52"/>
    </row>
    <row r="360">
      <c r="D360" s="52"/>
      <c r="E360" s="52"/>
    </row>
    <row r="361">
      <c r="D361" s="52"/>
      <c r="E361" s="52"/>
    </row>
    <row r="362">
      <c r="D362" s="52"/>
      <c r="E362" s="52"/>
    </row>
    <row r="363">
      <c r="D363" s="52"/>
      <c r="E363" s="52"/>
    </row>
    <row r="364">
      <c r="D364" s="52"/>
      <c r="E364" s="52"/>
    </row>
    <row r="365">
      <c r="D365" s="52"/>
      <c r="E365" s="52"/>
    </row>
    <row r="366">
      <c r="D366" s="52"/>
      <c r="E366" s="52"/>
    </row>
    <row r="367">
      <c r="D367" s="52"/>
      <c r="E367" s="52"/>
    </row>
    <row r="368">
      <c r="D368" s="52"/>
      <c r="E368" s="52"/>
    </row>
    <row r="369">
      <c r="D369" s="52"/>
      <c r="E369" s="52"/>
    </row>
    <row r="370">
      <c r="D370" s="52"/>
      <c r="E370" s="52"/>
    </row>
    <row r="371">
      <c r="D371" s="52"/>
      <c r="E371" s="52"/>
    </row>
    <row r="372">
      <c r="D372" s="52"/>
      <c r="E372" s="52"/>
    </row>
    <row r="373">
      <c r="D373" s="52"/>
      <c r="E373" s="52"/>
    </row>
    <row r="374">
      <c r="D374" s="52"/>
      <c r="E374" s="52"/>
    </row>
    <row r="375">
      <c r="D375" s="52"/>
      <c r="E375" s="52"/>
    </row>
    <row r="376">
      <c r="D376" s="52"/>
      <c r="E376" s="52"/>
    </row>
    <row r="377">
      <c r="D377" s="52"/>
      <c r="E377" s="52"/>
    </row>
    <row r="378">
      <c r="D378" s="52"/>
      <c r="E378" s="52"/>
    </row>
    <row r="379">
      <c r="D379" s="52"/>
      <c r="E379" s="52"/>
    </row>
    <row r="380">
      <c r="D380" s="52"/>
      <c r="E380" s="52"/>
    </row>
    <row r="381">
      <c r="D381" s="52"/>
      <c r="E381" s="52"/>
    </row>
    <row r="382">
      <c r="D382" s="52"/>
      <c r="E382" s="52"/>
    </row>
    <row r="383">
      <c r="D383" s="52"/>
      <c r="E383" s="52"/>
    </row>
    <row r="384">
      <c r="D384" s="52"/>
      <c r="E384" s="52"/>
    </row>
    <row r="385">
      <c r="D385" s="52"/>
      <c r="E385" s="52"/>
    </row>
    <row r="386">
      <c r="D386" s="52"/>
      <c r="E386" s="52"/>
    </row>
    <row r="387">
      <c r="D387" s="52"/>
      <c r="E387" s="52"/>
    </row>
    <row r="388">
      <c r="D388" s="52"/>
      <c r="E388" s="52"/>
    </row>
    <row r="389">
      <c r="D389" s="52"/>
      <c r="E389" s="52"/>
    </row>
    <row r="390">
      <c r="D390" s="52"/>
      <c r="E390" s="52"/>
    </row>
    <row r="391">
      <c r="D391" s="52"/>
      <c r="E391" s="52"/>
    </row>
    <row r="392">
      <c r="D392" s="52"/>
      <c r="E392" s="52"/>
    </row>
    <row r="393">
      <c r="D393" s="52"/>
      <c r="E393" s="52"/>
    </row>
    <row r="394">
      <c r="D394" s="52"/>
      <c r="E394" s="52"/>
    </row>
    <row r="395">
      <c r="D395" s="52"/>
      <c r="E395" s="52"/>
    </row>
    <row r="396">
      <c r="D396" s="52"/>
      <c r="E396" s="52"/>
    </row>
    <row r="397">
      <c r="D397" s="52"/>
      <c r="E397" s="52"/>
    </row>
    <row r="398">
      <c r="D398" s="52"/>
      <c r="E398" s="52"/>
    </row>
    <row r="399">
      <c r="D399" s="52"/>
      <c r="E399" s="52"/>
    </row>
    <row r="400">
      <c r="D400" s="52"/>
      <c r="E400" s="52"/>
    </row>
    <row r="401">
      <c r="D401" s="52"/>
      <c r="E401" s="52"/>
    </row>
    <row r="402">
      <c r="D402" s="52"/>
      <c r="E402" s="52"/>
    </row>
    <row r="403">
      <c r="D403" s="52"/>
      <c r="E403" s="52"/>
    </row>
    <row r="404">
      <c r="D404" s="52"/>
      <c r="E404" s="52"/>
    </row>
    <row r="405">
      <c r="D405" s="52"/>
      <c r="E405" s="52"/>
    </row>
    <row r="406">
      <c r="D406" s="52"/>
      <c r="E406" s="52"/>
    </row>
    <row r="407">
      <c r="D407" s="52"/>
      <c r="E407" s="52"/>
    </row>
    <row r="408">
      <c r="D408" s="52"/>
      <c r="E408" s="52"/>
    </row>
    <row r="409">
      <c r="D409" s="52"/>
      <c r="E409" s="52"/>
    </row>
    <row r="410">
      <c r="D410" s="52"/>
      <c r="E410" s="52"/>
    </row>
    <row r="411">
      <c r="D411" s="52"/>
      <c r="E411" s="52"/>
    </row>
    <row r="412">
      <c r="D412" s="52"/>
      <c r="E412" s="52"/>
    </row>
    <row r="413">
      <c r="D413" s="52"/>
      <c r="E413" s="52"/>
    </row>
    <row r="414">
      <c r="D414" s="52"/>
      <c r="E414" s="52"/>
    </row>
    <row r="415">
      <c r="D415" s="52"/>
      <c r="E415" s="52"/>
    </row>
    <row r="416">
      <c r="D416" s="52"/>
      <c r="E416" s="52"/>
    </row>
    <row r="417">
      <c r="D417" s="52"/>
      <c r="E417" s="52"/>
    </row>
    <row r="418">
      <c r="D418" s="52"/>
      <c r="E418" s="52"/>
    </row>
    <row r="419">
      <c r="D419" s="52"/>
      <c r="E419" s="52"/>
    </row>
    <row r="420">
      <c r="D420" s="52"/>
      <c r="E420" s="52"/>
    </row>
    <row r="421">
      <c r="D421" s="52"/>
      <c r="E421" s="52"/>
    </row>
    <row r="422">
      <c r="D422" s="52"/>
      <c r="E422" s="52"/>
    </row>
    <row r="423">
      <c r="D423" s="52"/>
      <c r="E423" s="52"/>
    </row>
    <row r="424">
      <c r="D424" s="52"/>
      <c r="E424" s="52"/>
    </row>
    <row r="425">
      <c r="D425" s="52"/>
      <c r="E425" s="52"/>
    </row>
    <row r="426">
      <c r="D426" s="52"/>
      <c r="E426" s="52"/>
    </row>
    <row r="427">
      <c r="D427" s="52"/>
      <c r="E427" s="52"/>
    </row>
    <row r="428">
      <c r="D428" s="52"/>
      <c r="E428" s="52"/>
    </row>
    <row r="429">
      <c r="D429" s="52"/>
      <c r="E429" s="52"/>
    </row>
    <row r="430">
      <c r="D430" s="52"/>
      <c r="E430" s="52"/>
    </row>
    <row r="431">
      <c r="D431" s="52"/>
      <c r="E431" s="52"/>
    </row>
    <row r="432">
      <c r="D432" s="52"/>
      <c r="E432" s="52"/>
    </row>
    <row r="433">
      <c r="D433" s="52"/>
      <c r="E433" s="52"/>
    </row>
    <row r="434">
      <c r="D434" s="52"/>
      <c r="E434" s="52"/>
    </row>
    <row r="435">
      <c r="D435" s="52"/>
      <c r="E435" s="52"/>
    </row>
    <row r="436">
      <c r="D436" s="52"/>
      <c r="E436" s="52"/>
    </row>
    <row r="437">
      <c r="D437" s="52"/>
      <c r="E437" s="52"/>
    </row>
    <row r="438">
      <c r="D438" s="52"/>
      <c r="E438" s="52"/>
    </row>
    <row r="439">
      <c r="D439" s="52"/>
      <c r="E439" s="52"/>
    </row>
    <row r="440">
      <c r="D440" s="52"/>
      <c r="E440" s="52"/>
    </row>
    <row r="441">
      <c r="D441" s="52"/>
      <c r="E441" s="52"/>
    </row>
    <row r="442">
      <c r="D442" s="52"/>
      <c r="E442" s="52"/>
    </row>
    <row r="443">
      <c r="D443" s="52"/>
      <c r="E443" s="52"/>
    </row>
    <row r="444">
      <c r="D444" s="52"/>
      <c r="E444" s="52"/>
    </row>
    <row r="445">
      <c r="D445" s="52"/>
      <c r="E445" s="52"/>
    </row>
    <row r="446">
      <c r="D446" s="52"/>
      <c r="E446" s="52"/>
    </row>
    <row r="447">
      <c r="D447" s="52"/>
      <c r="E447" s="52"/>
    </row>
    <row r="448">
      <c r="D448" s="52"/>
      <c r="E448" s="52"/>
    </row>
    <row r="449">
      <c r="D449" s="52"/>
      <c r="E449" s="52"/>
    </row>
    <row r="450">
      <c r="D450" s="52"/>
      <c r="E450" s="52"/>
    </row>
    <row r="451">
      <c r="D451" s="52"/>
      <c r="E451" s="52"/>
    </row>
    <row r="452">
      <c r="D452" s="52"/>
      <c r="E452" s="52"/>
    </row>
    <row r="453">
      <c r="D453" s="52"/>
      <c r="E453" s="52"/>
    </row>
    <row r="454">
      <c r="D454" s="52"/>
      <c r="E454" s="52"/>
    </row>
    <row r="455">
      <c r="D455" s="52"/>
      <c r="E455" s="52"/>
    </row>
    <row r="456">
      <c r="D456" s="52"/>
      <c r="E456" s="52"/>
    </row>
    <row r="457">
      <c r="D457" s="52"/>
      <c r="E457" s="52"/>
    </row>
    <row r="458">
      <c r="D458" s="52"/>
      <c r="E458" s="52"/>
    </row>
    <row r="459">
      <c r="D459" s="52"/>
      <c r="E459" s="52"/>
    </row>
    <row r="460">
      <c r="D460" s="52"/>
      <c r="E460" s="52"/>
    </row>
    <row r="461">
      <c r="D461" s="52"/>
      <c r="E461" s="52"/>
    </row>
    <row r="462">
      <c r="D462" s="52"/>
      <c r="E462" s="52"/>
    </row>
    <row r="463">
      <c r="D463" s="52"/>
      <c r="E463" s="52"/>
    </row>
    <row r="464">
      <c r="D464" s="52"/>
      <c r="E464" s="52"/>
    </row>
    <row r="465">
      <c r="D465" s="52"/>
      <c r="E465" s="52"/>
    </row>
    <row r="466">
      <c r="D466" s="52"/>
      <c r="E466" s="52"/>
    </row>
    <row r="467">
      <c r="D467" s="52"/>
      <c r="E467" s="52"/>
    </row>
    <row r="468">
      <c r="D468" s="52"/>
      <c r="E468" s="52"/>
    </row>
    <row r="469">
      <c r="D469" s="52"/>
      <c r="E469" s="52"/>
    </row>
    <row r="470">
      <c r="D470" s="52"/>
      <c r="E470" s="52"/>
    </row>
    <row r="471">
      <c r="D471" s="52"/>
      <c r="E471" s="52"/>
    </row>
    <row r="472">
      <c r="D472" s="52"/>
      <c r="E472" s="52"/>
    </row>
    <row r="473">
      <c r="D473" s="52"/>
      <c r="E473" s="52"/>
    </row>
    <row r="474">
      <c r="D474" s="52"/>
      <c r="E474" s="52"/>
    </row>
    <row r="475">
      <c r="D475" s="52"/>
      <c r="E475" s="52"/>
    </row>
    <row r="476">
      <c r="D476" s="52"/>
      <c r="E476" s="52"/>
    </row>
    <row r="477">
      <c r="D477" s="52"/>
      <c r="E477" s="52"/>
    </row>
    <row r="478">
      <c r="D478" s="52"/>
      <c r="E478" s="52"/>
    </row>
    <row r="479">
      <c r="D479" s="52"/>
      <c r="E479" s="52"/>
    </row>
    <row r="480">
      <c r="D480" s="52"/>
      <c r="E480" s="52"/>
    </row>
    <row r="481">
      <c r="D481" s="52"/>
      <c r="E481" s="52"/>
    </row>
    <row r="482">
      <c r="D482" s="52"/>
      <c r="E482" s="52"/>
    </row>
    <row r="483">
      <c r="D483" s="52"/>
      <c r="E483" s="52"/>
    </row>
    <row r="484">
      <c r="D484" s="52"/>
      <c r="E484" s="52"/>
    </row>
    <row r="485">
      <c r="D485" s="52"/>
      <c r="E485" s="52"/>
    </row>
    <row r="486">
      <c r="D486" s="52"/>
      <c r="E486" s="52"/>
    </row>
    <row r="487">
      <c r="D487" s="52"/>
      <c r="E487" s="52"/>
    </row>
    <row r="488">
      <c r="D488" s="52"/>
      <c r="E488" s="52"/>
    </row>
    <row r="489">
      <c r="D489" s="52"/>
      <c r="E489" s="52"/>
    </row>
    <row r="490">
      <c r="D490" s="52"/>
      <c r="E490" s="52"/>
    </row>
    <row r="491">
      <c r="D491" s="52"/>
      <c r="E491" s="52"/>
    </row>
    <row r="492">
      <c r="D492" s="52"/>
      <c r="E492" s="52"/>
    </row>
    <row r="493">
      <c r="D493" s="52"/>
      <c r="E493" s="52"/>
    </row>
    <row r="494">
      <c r="D494" s="52"/>
      <c r="E494" s="52"/>
    </row>
    <row r="495">
      <c r="D495" s="52"/>
      <c r="E495" s="52"/>
    </row>
    <row r="496">
      <c r="D496" s="52"/>
      <c r="E496" s="52"/>
    </row>
    <row r="497">
      <c r="D497" s="52"/>
      <c r="E497" s="52"/>
    </row>
    <row r="498">
      <c r="D498" s="52"/>
      <c r="E498" s="52"/>
    </row>
    <row r="499">
      <c r="D499" s="52"/>
      <c r="E499" s="52"/>
    </row>
    <row r="500">
      <c r="D500" s="52"/>
      <c r="E500" s="52"/>
    </row>
    <row r="501">
      <c r="D501" s="52"/>
      <c r="E501" s="52"/>
    </row>
    <row r="502">
      <c r="D502" s="52"/>
      <c r="E502" s="52"/>
    </row>
    <row r="503">
      <c r="D503" s="52"/>
      <c r="E503" s="52"/>
    </row>
    <row r="504">
      <c r="D504" s="52"/>
      <c r="E504" s="52"/>
    </row>
    <row r="505">
      <c r="D505" s="52"/>
      <c r="E505" s="52"/>
    </row>
    <row r="506">
      <c r="D506" s="52"/>
      <c r="E506" s="52"/>
    </row>
    <row r="507">
      <c r="D507" s="52"/>
      <c r="E507" s="52"/>
    </row>
    <row r="508">
      <c r="D508" s="52"/>
      <c r="E508" s="52"/>
    </row>
    <row r="509">
      <c r="D509" s="52"/>
      <c r="E509" s="52"/>
    </row>
    <row r="510">
      <c r="D510" s="52"/>
      <c r="E510" s="52"/>
    </row>
    <row r="511">
      <c r="D511" s="52"/>
      <c r="E511" s="52"/>
    </row>
    <row r="512">
      <c r="D512" s="52"/>
      <c r="E512" s="52"/>
    </row>
    <row r="513">
      <c r="D513" s="52"/>
      <c r="E513" s="52"/>
    </row>
    <row r="514">
      <c r="D514" s="52"/>
      <c r="E514" s="52"/>
    </row>
    <row r="515">
      <c r="D515" s="52"/>
      <c r="E515" s="52"/>
    </row>
    <row r="516">
      <c r="D516" s="52"/>
      <c r="E516" s="52"/>
    </row>
    <row r="517">
      <c r="D517" s="52"/>
      <c r="E517" s="52"/>
    </row>
    <row r="518">
      <c r="D518" s="52"/>
      <c r="E518" s="52"/>
    </row>
    <row r="519">
      <c r="D519" s="52"/>
      <c r="E519" s="52"/>
    </row>
    <row r="520">
      <c r="D520" s="52"/>
      <c r="E520" s="52"/>
    </row>
    <row r="521">
      <c r="D521" s="52"/>
      <c r="E521" s="52"/>
    </row>
    <row r="522">
      <c r="D522" s="52"/>
      <c r="E522" s="52"/>
    </row>
    <row r="523">
      <c r="D523" s="52"/>
      <c r="E523" s="52"/>
    </row>
    <row r="524">
      <c r="D524" s="52"/>
      <c r="E524" s="52"/>
    </row>
    <row r="525">
      <c r="D525" s="52"/>
      <c r="E525" s="52"/>
    </row>
    <row r="526">
      <c r="D526" s="52"/>
      <c r="E526" s="52"/>
    </row>
    <row r="527">
      <c r="D527" s="52"/>
      <c r="E527" s="52"/>
    </row>
    <row r="528">
      <c r="D528" s="52"/>
      <c r="E528" s="52"/>
    </row>
    <row r="529">
      <c r="D529" s="52"/>
      <c r="E529" s="52"/>
    </row>
    <row r="530">
      <c r="D530" s="52"/>
      <c r="E530" s="52"/>
    </row>
    <row r="531">
      <c r="D531" s="52"/>
      <c r="E531" s="52"/>
    </row>
    <row r="532">
      <c r="D532" s="52"/>
      <c r="E532" s="52"/>
    </row>
    <row r="533">
      <c r="D533" s="52"/>
      <c r="E533" s="52"/>
    </row>
    <row r="534">
      <c r="D534" s="52"/>
      <c r="E534" s="52"/>
    </row>
    <row r="535">
      <c r="D535" s="52"/>
      <c r="E535" s="52"/>
    </row>
    <row r="536">
      <c r="D536" s="52"/>
      <c r="E536" s="52"/>
    </row>
    <row r="537">
      <c r="D537" s="52"/>
      <c r="E537" s="52"/>
    </row>
    <row r="538">
      <c r="D538" s="52"/>
      <c r="E538" s="52"/>
    </row>
    <row r="539">
      <c r="D539" s="52"/>
      <c r="E539" s="52"/>
    </row>
    <row r="540">
      <c r="D540" s="52"/>
      <c r="E540" s="52"/>
    </row>
    <row r="541">
      <c r="D541" s="52"/>
      <c r="E541" s="52"/>
    </row>
    <row r="542">
      <c r="D542" s="52"/>
      <c r="E542" s="52"/>
    </row>
    <row r="543">
      <c r="D543" s="52"/>
      <c r="E543" s="52"/>
    </row>
    <row r="544">
      <c r="D544" s="52"/>
      <c r="E544" s="52"/>
    </row>
    <row r="545">
      <c r="D545" s="52"/>
      <c r="E545" s="52"/>
    </row>
    <row r="546">
      <c r="D546" s="52"/>
      <c r="E546" s="52"/>
    </row>
    <row r="547">
      <c r="D547" s="52"/>
      <c r="E547" s="52"/>
    </row>
    <row r="548">
      <c r="D548" s="52"/>
      <c r="E548" s="52"/>
    </row>
    <row r="549">
      <c r="D549" s="52"/>
      <c r="E549" s="52"/>
    </row>
    <row r="550">
      <c r="D550" s="52"/>
      <c r="E550" s="52"/>
    </row>
    <row r="551">
      <c r="D551" s="52"/>
      <c r="E551" s="52"/>
    </row>
    <row r="552">
      <c r="D552" s="52"/>
      <c r="E552" s="52"/>
    </row>
    <row r="553">
      <c r="D553" s="52"/>
      <c r="E553" s="52"/>
    </row>
    <row r="554">
      <c r="D554" s="52"/>
      <c r="E554" s="52"/>
    </row>
    <row r="555">
      <c r="D555" s="52"/>
      <c r="E555" s="52"/>
    </row>
    <row r="556">
      <c r="D556" s="52"/>
      <c r="E556" s="52"/>
    </row>
    <row r="557">
      <c r="D557" s="52"/>
      <c r="E557" s="52"/>
    </row>
    <row r="558">
      <c r="D558" s="52"/>
      <c r="E558" s="52"/>
    </row>
    <row r="559">
      <c r="D559" s="52"/>
      <c r="E559" s="52"/>
    </row>
    <row r="560">
      <c r="D560" s="52"/>
      <c r="E560" s="52"/>
    </row>
    <row r="561">
      <c r="D561" s="52"/>
      <c r="E561" s="52"/>
    </row>
    <row r="562">
      <c r="D562" s="52"/>
      <c r="E562" s="52"/>
    </row>
    <row r="563">
      <c r="D563" s="52"/>
      <c r="E563" s="52"/>
    </row>
    <row r="564">
      <c r="D564" s="52"/>
      <c r="E564" s="52"/>
    </row>
    <row r="565">
      <c r="D565" s="52"/>
      <c r="E565" s="52"/>
    </row>
    <row r="566">
      <c r="D566" s="52"/>
      <c r="E566" s="52"/>
    </row>
    <row r="567">
      <c r="D567" s="52"/>
      <c r="E567" s="52"/>
    </row>
    <row r="568">
      <c r="D568" s="52"/>
      <c r="E568" s="52"/>
    </row>
    <row r="569">
      <c r="D569" s="52"/>
      <c r="E569" s="52"/>
    </row>
    <row r="570">
      <c r="D570" s="52"/>
      <c r="E570" s="52"/>
    </row>
    <row r="571">
      <c r="D571" s="52"/>
      <c r="E571" s="52"/>
    </row>
    <row r="572">
      <c r="D572" s="52"/>
      <c r="E572" s="52"/>
    </row>
    <row r="573">
      <c r="D573" s="52"/>
      <c r="E573" s="52"/>
    </row>
    <row r="574">
      <c r="D574" s="52"/>
      <c r="E574" s="52"/>
    </row>
    <row r="575">
      <c r="D575" s="52"/>
      <c r="E575" s="52"/>
    </row>
    <row r="576">
      <c r="D576" s="52"/>
      <c r="E576" s="52"/>
    </row>
    <row r="577">
      <c r="D577" s="52"/>
      <c r="E577" s="52"/>
    </row>
    <row r="578">
      <c r="D578" s="52"/>
      <c r="E578" s="52"/>
    </row>
    <row r="579">
      <c r="D579" s="52"/>
      <c r="E579" s="52"/>
    </row>
    <row r="580">
      <c r="D580" s="52"/>
      <c r="E580" s="52"/>
    </row>
    <row r="581">
      <c r="D581" s="52"/>
      <c r="E581" s="52"/>
    </row>
    <row r="582">
      <c r="D582" s="52"/>
      <c r="E582" s="52"/>
    </row>
    <row r="583">
      <c r="D583" s="52"/>
      <c r="E583" s="52"/>
    </row>
    <row r="584">
      <c r="D584" s="52"/>
      <c r="E584" s="52"/>
    </row>
    <row r="585">
      <c r="D585" s="52"/>
      <c r="E585" s="52"/>
    </row>
    <row r="586">
      <c r="D586" s="52"/>
      <c r="E586" s="52"/>
    </row>
    <row r="587">
      <c r="D587" s="52"/>
      <c r="E587" s="52"/>
    </row>
    <row r="588">
      <c r="D588" s="52"/>
      <c r="E588" s="52"/>
    </row>
    <row r="589">
      <c r="D589" s="52"/>
      <c r="E589" s="52"/>
    </row>
    <row r="590">
      <c r="D590" s="52"/>
      <c r="E590" s="52"/>
    </row>
    <row r="591">
      <c r="D591" s="52"/>
      <c r="E591" s="52"/>
    </row>
    <row r="592">
      <c r="D592" s="52"/>
      <c r="E592" s="52"/>
    </row>
    <row r="593">
      <c r="D593" s="52"/>
      <c r="E593" s="52"/>
    </row>
    <row r="594">
      <c r="D594" s="52"/>
      <c r="E594" s="52"/>
    </row>
    <row r="595">
      <c r="D595" s="52"/>
      <c r="E595" s="52"/>
    </row>
    <row r="596">
      <c r="D596" s="52"/>
      <c r="E596" s="52"/>
    </row>
    <row r="597">
      <c r="D597" s="52"/>
      <c r="E597" s="52"/>
    </row>
    <row r="598">
      <c r="D598" s="52"/>
      <c r="E598" s="52"/>
    </row>
    <row r="599">
      <c r="D599" s="52"/>
      <c r="E599" s="52"/>
    </row>
    <row r="600">
      <c r="D600" s="52"/>
      <c r="E600" s="52"/>
    </row>
    <row r="601">
      <c r="D601" s="52"/>
      <c r="E601" s="52"/>
    </row>
    <row r="602">
      <c r="D602" s="52"/>
      <c r="E602" s="52"/>
    </row>
    <row r="603">
      <c r="D603" s="52"/>
      <c r="E603" s="52"/>
    </row>
    <row r="604">
      <c r="D604" s="52"/>
      <c r="E604" s="52"/>
    </row>
    <row r="605">
      <c r="D605" s="52"/>
      <c r="E605" s="52"/>
    </row>
    <row r="606">
      <c r="D606" s="52"/>
      <c r="E606" s="52"/>
    </row>
    <row r="607">
      <c r="D607" s="52"/>
      <c r="E607" s="52"/>
    </row>
    <row r="608">
      <c r="D608" s="52"/>
      <c r="E608" s="52"/>
    </row>
    <row r="609">
      <c r="D609" s="52"/>
      <c r="E609" s="52"/>
    </row>
    <row r="610">
      <c r="D610" s="52"/>
      <c r="E610" s="52"/>
    </row>
    <row r="611">
      <c r="D611" s="52"/>
      <c r="E611" s="52"/>
    </row>
    <row r="612">
      <c r="D612" s="52"/>
      <c r="E612" s="52"/>
    </row>
    <row r="613">
      <c r="D613" s="52"/>
      <c r="E613" s="52"/>
    </row>
    <row r="614">
      <c r="D614" s="52"/>
      <c r="E614" s="52"/>
    </row>
    <row r="615">
      <c r="D615" s="52"/>
      <c r="E615" s="52"/>
    </row>
    <row r="616">
      <c r="D616" s="52"/>
      <c r="E616" s="52"/>
    </row>
    <row r="617">
      <c r="D617" s="52"/>
      <c r="E617" s="52"/>
    </row>
    <row r="618">
      <c r="D618" s="52"/>
      <c r="E618" s="52"/>
    </row>
    <row r="619">
      <c r="D619" s="52"/>
      <c r="E619" s="52"/>
    </row>
    <row r="620">
      <c r="D620" s="52"/>
      <c r="E620" s="52"/>
    </row>
    <row r="621">
      <c r="D621" s="52"/>
      <c r="E621" s="52"/>
    </row>
    <row r="622">
      <c r="D622" s="52"/>
      <c r="E622" s="52"/>
    </row>
    <row r="623">
      <c r="D623" s="52"/>
      <c r="E623" s="52"/>
    </row>
    <row r="624">
      <c r="D624" s="52"/>
      <c r="E624" s="52"/>
    </row>
    <row r="625">
      <c r="D625" s="52"/>
      <c r="E625" s="52"/>
    </row>
    <row r="626">
      <c r="D626" s="52"/>
      <c r="E626" s="52"/>
    </row>
    <row r="627">
      <c r="D627" s="52"/>
      <c r="E627" s="52"/>
    </row>
    <row r="628">
      <c r="D628" s="52"/>
      <c r="E628" s="52"/>
    </row>
    <row r="629">
      <c r="D629" s="52"/>
      <c r="E629" s="52"/>
    </row>
    <row r="630">
      <c r="D630" s="52"/>
      <c r="E630" s="52"/>
    </row>
    <row r="631">
      <c r="D631" s="52"/>
      <c r="E631" s="52"/>
    </row>
    <row r="632">
      <c r="D632" s="52"/>
      <c r="E632" s="52"/>
    </row>
    <row r="633">
      <c r="D633" s="52"/>
      <c r="E633" s="52"/>
    </row>
    <row r="634">
      <c r="D634" s="52"/>
      <c r="E634" s="52"/>
    </row>
    <row r="635">
      <c r="D635" s="52"/>
      <c r="E635" s="52"/>
    </row>
    <row r="636">
      <c r="D636" s="52"/>
      <c r="E636" s="52"/>
    </row>
    <row r="637">
      <c r="D637" s="52"/>
      <c r="E637" s="52"/>
    </row>
    <row r="638">
      <c r="D638" s="52"/>
      <c r="E638" s="52"/>
    </row>
    <row r="639">
      <c r="D639" s="52"/>
      <c r="E639" s="52"/>
    </row>
    <row r="640">
      <c r="D640" s="52"/>
      <c r="E640" s="52"/>
    </row>
    <row r="641">
      <c r="D641" s="52"/>
      <c r="E641" s="52"/>
    </row>
    <row r="642">
      <c r="D642" s="52"/>
      <c r="E642" s="52"/>
    </row>
    <row r="643">
      <c r="D643" s="52"/>
      <c r="E643" s="52"/>
    </row>
    <row r="644">
      <c r="D644" s="52"/>
      <c r="E644" s="52"/>
    </row>
    <row r="645">
      <c r="D645" s="52"/>
      <c r="E645" s="52"/>
    </row>
    <row r="646">
      <c r="D646" s="52"/>
      <c r="E646" s="52"/>
    </row>
    <row r="647">
      <c r="D647" s="52"/>
      <c r="E647" s="52"/>
    </row>
    <row r="648">
      <c r="D648" s="52"/>
      <c r="E648" s="52"/>
    </row>
    <row r="649">
      <c r="D649" s="52"/>
      <c r="E649" s="52"/>
    </row>
    <row r="650">
      <c r="D650" s="52"/>
      <c r="E650" s="52"/>
    </row>
    <row r="651">
      <c r="D651" s="52"/>
      <c r="E651" s="52"/>
    </row>
    <row r="652">
      <c r="D652" s="52"/>
      <c r="E652" s="52"/>
    </row>
    <row r="653">
      <c r="D653" s="52"/>
      <c r="E653" s="52"/>
    </row>
    <row r="654">
      <c r="D654" s="52"/>
      <c r="E654" s="52"/>
    </row>
    <row r="655">
      <c r="D655" s="52"/>
      <c r="E655" s="52"/>
    </row>
    <row r="656">
      <c r="D656" s="52"/>
      <c r="E656" s="52"/>
    </row>
    <row r="657">
      <c r="D657" s="52"/>
      <c r="E657" s="52"/>
    </row>
    <row r="658">
      <c r="D658" s="52"/>
      <c r="E658" s="52"/>
    </row>
    <row r="659">
      <c r="D659" s="52"/>
      <c r="E659" s="52"/>
    </row>
    <row r="660">
      <c r="D660" s="52"/>
      <c r="E660" s="52"/>
    </row>
    <row r="661">
      <c r="D661" s="52"/>
      <c r="E661" s="52"/>
    </row>
    <row r="662">
      <c r="D662" s="52"/>
      <c r="E662" s="52"/>
    </row>
    <row r="663">
      <c r="D663" s="52"/>
      <c r="E663" s="52"/>
    </row>
    <row r="664">
      <c r="D664" s="52"/>
      <c r="E664" s="52"/>
    </row>
    <row r="665">
      <c r="D665" s="52"/>
      <c r="E665" s="52"/>
    </row>
    <row r="666">
      <c r="D666" s="52"/>
      <c r="E666" s="52"/>
    </row>
    <row r="667">
      <c r="D667" s="52"/>
      <c r="E667" s="52"/>
    </row>
    <row r="668">
      <c r="D668" s="52"/>
      <c r="E668" s="52"/>
    </row>
    <row r="669">
      <c r="D669" s="52"/>
      <c r="E669" s="52"/>
    </row>
    <row r="670">
      <c r="D670" s="52"/>
      <c r="E670" s="52"/>
    </row>
    <row r="671">
      <c r="D671" s="52"/>
      <c r="E671" s="52"/>
    </row>
    <row r="672">
      <c r="D672" s="52"/>
      <c r="E672" s="52"/>
    </row>
    <row r="673">
      <c r="D673" s="52"/>
      <c r="E673" s="52"/>
    </row>
    <row r="674">
      <c r="D674" s="52"/>
      <c r="E674" s="52"/>
    </row>
    <row r="675">
      <c r="D675" s="52"/>
      <c r="E675" s="52"/>
    </row>
    <row r="676">
      <c r="D676" s="52"/>
      <c r="E676" s="52"/>
    </row>
    <row r="677">
      <c r="D677" s="52"/>
      <c r="E677" s="52"/>
    </row>
    <row r="678">
      <c r="D678" s="52"/>
      <c r="E678" s="52"/>
    </row>
    <row r="679">
      <c r="D679" s="52"/>
      <c r="E679" s="52"/>
    </row>
    <row r="680">
      <c r="D680" s="52"/>
      <c r="E680" s="52"/>
    </row>
    <row r="681">
      <c r="D681" s="52"/>
      <c r="E681" s="52"/>
    </row>
    <row r="682">
      <c r="D682" s="52"/>
      <c r="E682" s="52"/>
    </row>
    <row r="683">
      <c r="D683" s="52"/>
      <c r="E683" s="52"/>
    </row>
    <row r="684">
      <c r="D684" s="52"/>
      <c r="E684" s="52"/>
    </row>
    <row r="685">
      <c r="D685" s="52"/>
      <c r="E685" s="52"/>
    </row>
    <row r="686">
      <c r="D686" s="52"/>
      <c r="E686" s="52"/>
    </row>
    <row r="687">
      <c r="D687" s="52"/>
      <c r="E687" s="52"/>
    </row>
    <row r="688">
      <c r="D688" s="52"/>
      <c r="E688" s="52"/>
    </row>
    <row r="689">
      <c r="D689" s="52"/>
      <c r="E689" s="52"/>
    </row>
    <row r="690">
      <c r="D690" s="52"/>
      <c r="E690" s="52"/>
    </row>
    <row r="691">
      <c r="D691" s="52"/>
      <c r="E691" s="52"/>
    </row>
    <row r="692">
      <c r="D692" s="52"/>
      <c r="E692" s="52"/>
    </row>
    <row r="693">
      <c r="D693" s="52"/>
      <c r="E693" s="52"/>
    </row>
    <row r="694">
      <c r="D694" s="52"/>
      <c r="E694" s="52"/>
    </row>
    <row r="695">
      <c r="D695" s="52"/>
      <c r="E695" s="52"/>
    </row>
    <row r="696">
      <c r="D696" s="52"/>
      <c r="E696" s="52"/>
    </row>
    <row r="697">
      <c r="D697" s="52"/>
      <c r="E697" s="52"/>
    </row>
    <row r="698">
      <c r="D698" s="52"/>
      <c r="E698" s="52"/>
    </row>
    <row r="699">
      <c r="D699" s="52"/>
      <c r="E699" s="52"/>
    </row>
    <row r="700">
      <c r="D700" s="52"/>
      <c r="E700" s="52"/>
    </row>
    <row r="701">
      <c r="D701" s="52"/>
      <c r="E701" s="52"/>
    </row>
    <row r="702">
      <c r="D702" s="52"/>
      <c r="E702" s="52"/>
    </row>
    <row r="703">
      <c r="D703" s="52"/>
      <c r="E703" s="52"/>
    </row>
    <row r="704">
      <c r="D704" s="52"/>
      <c r="E704" s="52"/>
    </row>
    <row r="705">
      <c r="D705" s="52"/>
      <c r="E705" s="52"/>
    </row>
    <row r="706">
      <c r="D706" s="52"/>
      <c r="E706" s="52"/>
    </row>
    <row r="707">
      <c r="D707" s="52"/>
      <c r="E707" s="52"/>
    </row>
    <row r="708">
      <c r="D708" s="52"/>
      <c r="E708" s="52"/>
    </row>
    <row r="709">
      <c r="D709" s="52"/>
      <c r="E709" s="52"/>
    </row>
    <row r="710">
      <c r="D710" s="52"/>
      <c r="E710" s="52"/>
    </row>
    <row r="711">
      <c r="D711" s="52"/>
      <c r="E711" s="52"/>
    </row>
    <row r="712">
      <c r="D712" s="52"/>
      <c r="E712" s="52"/>
    </row>
    <row r="713">
      <c r="D713" s="52"/>
      <c r="E713" s="52"/>
    </row>
    <row r="714">
      <c r="D714" s="52"/>
      <c r="E714" s="52"/>
    </row>
    <row r="715">
      <c r="D715" s="52"/>
      <c r="E715" s="52"/>
    </row>
    <row r="716">
      <c r="D716" s="52"/>
      <c r="E716" s="52"/>
    </row>
    <row r="717">
      <c r="D717" s="52"/>
      <c r="E717" s="52"/>
    </row>
    <row r="718">
      <c r="D718" s="52"/>
      <c r="E718" s="52"/>
    </row>
    <row r="719">
      <c r="D719" s="52"/>
      <c r="E719" s="52"/>
    </row>
    <row r="720">
      <c r="D720" s="52"/>
      <c r="E720" s="52"/>
    </row>
    <row r="721">
      <c r="D721" s="52"/>
      <c r="E721" s="52"/>
    </row>
    <row r="722">
      <c r="D722" s="52"/>
      <c r="E722" s="52"/>
    </row>
    <row r="723">
      <c r="D723" s="52"/>
      <c r="E723" s="52"/>
    </row>
    <row r="724">
      <c r="D724" s="52"/>
      <c r="E724" s="52"/>
    </row>
    <row r="725">
      <c r="D725" s="52"/>
      <c r="E725" s="52"/>
    </row>
    <row r="726">
      <c r="D726" s="52"/>
      <c r="E726" s="52"/>
    </row>
    <row r="727">
      <c r="D727" s="52"/>
      <c r="E727" s="52"/>
    </row>
    <row r="728">
      <c r="D728" s="52"/>
      <c r="E728" s="52"/>
    </row>
    <row r="729">
      <c r="D729" s="52"/>
      <c r="E729" s="52"/>
    </row>
    <row r="730">
      <c r="D730" s="52"/>
      <c r="E730" s="52"/>
    </row>
    <row r="731">
      <c r="D731" s="52"/>
      <c r="E731" s="52"/>
    </row>
    <row r="732">
      <c r="D732" s="52"/>
      <c r="E732" s="52"/>
    </row>
    <row r="733">
      <c r="D733" s="52"/>
      <c r="E733" s="52"/>
    </row>
    <row r="734">
      <c r="D734" s="52"/>
      <c r="E734" s="52"/>
    </row>
    <row r="735">
      <c r="D735" s="52"/>
      <c r="E735" s="52"/>
    </row>
    <row r="736">
      <c r="D736" s="52"/>
      <c r="E736" s="52"/>
    </row>
    <row r="737">
      <c r="D737" s="52"/>
      <c r="E737" s="52"/>
    </row>
    <row r="738">
      <c r="D738" s="52"/>
      <c r="E738" s="52"/>
    </row>
    <row r="739">
      <c r="D739" s="52"/>
      <c r="E739" s="52"/>
    </row>
    <row r="740">
      <c r="D740" s="52"/>
      <c r="E740" s="52"/>
    </row>
    <row r="741">
      <c r="D741" s="52"/>
      <c r="E741" s="52"/>
    </row>
    <row r="742">
      <c r="D742" s="52"/>
      <c r="E742" s="52"/>
    </row>
    <row r="743">
      <c r="D743" s="52"/>
      <c r="E743" s="52"/>
    </row>
    <row r="744">
      <c r="D744" s="52"/>
      <c r="E744" s="52"/>
    </row>
    <row r="745">
      <c r="D745" s="52"/>
      <c r="E745" s="52"/>
    </row>
    <row r="746">
      <c r="D746" s="52"/>
      <c r="E746" s="52"/>
    </row>
    <row r="747">
      <c r="D747" s="52"/>
      <c r="E747" s="52"/>
    </row>
    <row r="748">
      <c r="D748" s="52"/>
      <c r="E748" s="52"/>
    </row>
    <row r="749">
      <c r="D749" s="52"/>
      <c r="E749" s="52"/>
    </row>
    <row r="750">
      <c r="D750" s="52"/>
      <c r="E750" s="52"/>
    </row>
    <row r="751">
      <c r="D751" s="52"/>
      <c r="E751" s="52"/>
    </row>
    <row r="752">
      <c r="D752" s="52"/>
      <c r="E752" s="52"/>
    </row>
    <row r="753">
      <c r="D753" s="52"/>
      <c r="E753" s="52"/>
    </row>
    <row r="754">
      <c r="D754" s="52"/>
      <c r="E754" s="52"/>
    </row>
    <row r="755">
      <c r="D755" s="52"/>
      <c r="E755" s="52"/>
    </row>
    <row r="756">
      <c r="D756" s="52"/>
      <c r="E756" s="52"/>
    </row>
    <row r="757">
      <c r="D757" s="52"/>
      <c r="E757" s="52"/>
    </row>
    <row r="758">
      <c r="D758" s="52"/>
      <c r="E758" s="52"/>
    </row>
    <row r="759">
      <c r="D759" s="52"/>
      <c r="E759" s="52"/>
    </row>
    <row r="760">
      <c r="D760" s="52"/>
      <c r="E760" s="52"/>
    </row>
    <row r="761">
      <c r="D761" s="52"/>
      <c r="E761" s="52"/>
    </row>
    <row r="762">
      <c r="D762" s="52"/>
      <c r="E762" s="52"/>
    </row>
    <row r="763">
      <c r="D763" s="52"/>
      <c r="E763" s="52"/>
    </row>
    <row r="764">
      <c r="D764" s="52"/>
      <c r="E764" s="52"/>
    </row>
    <row r="765">
      <c r="D765" s="52"/>
      <c r="E765" s="52"/>
    </row>
    <row r="766">
      <c r="D766" s="52"/>
      <c r="E766" s="52"/>
    </row>
    <row r="767">
      <c r="D767" s="52"/>
      <c r="E767" s="52"/>
    </row>
    <row r="768">
      <c r="D768" s="52"/>
      <c r="E768" s="52"/>
    </row>
    <row r="769">
      <c r="D769" s="52"/>
      <c r="E769" s="52"/>
    </row>
    <row r="770">
      <c r="D770" s="52"/>
      <c r="E770" s="52"/>
    </row>
    <row r="771">
      <c r="D771" s="52"/>
      <c r="E771" s="52"/>
    </row>
    <row r="772">
      <c r="D772" s="52"/>
      <c r="E772" s="52"/>
    </row>
    <row r="773">
      <c r="D773" s="52"/>
      <c r="E773" s="52"/>
    </row>
    <row r="774">
      <c r="D774" s="52"/>
      <c r="E774" s="52"/>
    </row>
    <row r="775">
      <c r="D775" s="52"/>
      <c r="E775" s="52"/>
    </row>
    <row r="776">
      <c r="D776" s="52"/>
      <c r="E776" s="52"/>
    </row>
    <row r="777">
      <c r="D777" s="52"/>
      <c r="E777" s="52"/>
    </row>
    <row r="778">
      <c r="D778" s="52"/>
      <c r="E778" s="52"/>
    </row>
    <row r="779">
      <c r="D779" s="52"/>
      <c r="E779" s="52"/>
    </row>
    <row r="780">
      <c r="D780" s="52"/>
      <c r="E780" s="52"/>
    </row>
    <row r="781">
      <c r="D781" s="52"/>
      <c r="E781" s="52"/>
    </row>
    <row r="782">
      <c r="D782" s="52"/>
      <c r="E782" s="52"/>
    </row>
    <row r="783">
      <c r="D783" s="52"/>
      <c r="E783" s="52"/>
    </row>
    <row r="784">
      <c r="D784" s="52"/>
      <c r="E784" s="52"/>
    </row>
    <row r="785">
      <c r="D785" s="52"/>
      <c r="E785" s="52"/>
    </row>
    <row r="786">
      <c r="D786" s="52"/>
      <c r="E786" s="52"/>
    </row>
    <row r="787">
      <c r="D787" s="52"/>
      <c r="E787" s="52"/>
    </row>
    <row r="788">
      <c r="D788" s="52"/>
      <c r="E788" s="52"/>
    </row>
    <row r="789">
      <c r="D789" s="52"/>
      <c r="E789" s="52"/>
    </row>
    <row r="790">
      <c r="D790" s="52"/>
      <c r="E790" s="52"/>
    </row>
    <row r="791">
      <c r="D791" s="52"/>
      <c r="E791" s="52"/>
    </row>
    <row r="792">
      <c r="D792" s="52"/>
      <c r="E792" s="52"/>
    </row>
    <row r="793">
      <c r="D793" s="52"/>
      <c r="E793" s="52"/>
    </row>
    <row r="794">
      <c r="D794" s="52"/>
      <c r="E794" s="52"/>
    </row>
    <row r="795">
      <c r="D795" s="52"/>
      <c r="E795" s="52"/>
    </row>
    <row r="796">
      <c r="D796" s="52"/>
      <c r="E796" s="52"/>
    </row>
    <row r="797">
      <c r="D797" s="52"/>
      <c r="E797" s="52"/>
    </row>
    <row r="798">
      <c r="D798" s="52"/>
      <c r="E798" s="52"/>
    </row>
    <row r="799">
      <c r="D799" s="52"/>
      <c r="E799" s="52"/>
    </row>
    <row r="800">
      <c r="D800" s="52"/>
      <c r="E800" s="52"/>
    </row>
    <row r="801">
      <c r="D801" s="52"/>
      <c r="E801" s="52"/>
    </row>
    <row r="802">
      <c r="D802" s="52"/>
      <c r="E802" s="52"/>
    </row>
    <row r="803">
      <c r="D803" s="52"/>
      <c r="E803" s="52"/>
    </row>
    <row r="804">
      <c r="D804" s="52"/>
      <c r="E804" s="52"/>
    </row>
    <row r="805">
      <c r="D805" s="52"/>
      <c r="E805" s="52"/>
    </row>
    <row r="806">
      <c r="D806" s="52"/>
      <c r="E806" s="52"/>
    </row>
    <row r="807">
      <c r="D807" s="52"/>
      <c r="E807" s="52"/>
    </row>
    <row r="808">
      <c r="D808" s="52"/>
      <c r="E808" s="52"/>
    </row>
    <row r="809">
      <c r="D809" s="52"/>
      <c r="E809" s="52"/>
    </row>
    <row r="810">
      <c r="D810" s="52"/>
      <c r="E810" s="52"/>
    </row>
    <row r="811">
      <c r="D811" s="52"/>
      <c r="E811" s="52"/>
    </row>
    <row r="812">
      <c r="D812" s="52"/>
      <c r="E812" s="52"/>
    </row>
    <row r="813">
      <c r="D813" s="52"/>
      <c r="E813" s="52"/>
    </row>
    <row r="814">
      <c r="D814" s="52"/>
      <c r="E814" s="52"/>
    </row>
    <row r="815">
      <c r="D815" s="52"/>
      <c r="E815" s="52"/>
    </row>
    <row r="816">
      <c r="D816" s="52"/>
      <c r="E816" s="52"/>
    </row>
    <row r="817">
      <c r="D817" s="52"/>
      <c r="E817" s="52"/>
    </row>
    <row r="818">
      <c r="D818" s="52"/>
      <c r="E818" s="52"/>
    </row>
    <row r="819">
      <c r="D819" s="52"/>
      <c r="E819" s="52"/>
    </row>
    <row r="820">
      <c r="D820" s="52"/>
      <c r="E820" s="52"/>
    </row>
    <row r="821">
      <c r="D821" s="52"/>
      <c r="E821" s="52"/>
    </row>
    <row r="822">
      <c r="D822" s="52"/>
      <c r="E822" s="52"/>
    </row>
    <row r="823">
      <c r="D823" s="52"/>
      <c r="E823" s="52"/>
    </row>
    <row r="824">
      <c r="D824" s="52"/>
      <c r="E824" s="52"/>
    </row>
    <row r="825">
      <c r="D825" s="52"/>
      <c r="E825" s="52"/>
    </row>
    <row r="826">
      <c r="D826" s="52"/>
      <c r="E826" s="52"/>
    </row>
    <row r="827">
      <c r="D827" s="52"/>
      <c r="E827" s="52"/>
    </row>
    <row r="828">
      <c r="D828" s="52"/>
      <c r="E828" s="52"/>
    </row>
    <row r="829">
      <c r="D829" s="52"/>
      <c r="E829" s="52"/>
    </row>
    <row r="830">
      <c r="D830" s="52"/>
      <c r="E830" s="52"/>
    </row>
    <row r="831">
      <c r="D831" s="52"/>
      <c r="E831" s="52"/>
    </row>
    <row r="832">
      <c r="D832" s="52"/>
      <c r="E832" s="52"/>
    </row>
    <row r="833">
      <c r="D833" s="52"/>
      <c r="E833" s="52"/>
    </row>
    <row r="834">
      <c r="D834" s="52"/>
      <c r="E834" s="52"/>
    </row>
    <row r="835">
      <c r="D835" s="52"/>
      <c r="E835" s="52"/>
    </row>
    <row r="836">
      <c r="D836" s="52"/>
      <c r="E836" s="52"/>
    </row>
    <row r="837">
      <c r="D837" s="52"/>
      <c r="E837" s="52"/>
    </row>
    <row r="838">
      <c r="D838" s="52"/>
      <c r="E838" s="52"/>
    </row>
    <row r="839">
      <c r="D839" s="52"/>
      <c r="E839" s="52"/>
    </row>
    <row r="840">
      <c r="D840" s="52"/>
      <c r="E840" s="52"/>
    </row>
    <row r="841">
      <c r="D841" s="52"/>
      <c r="E841" s="52"/>
    </row>
    <row r="842">
      <c r="D842" s="52"/>
      <c r="E842" s="52"/>
    </row>
    <row r="843">
      <c r="D843" s="52"/>
      <c r="E843" s="52"/>
    </row>
    <row r="844">
      <c r="D844" s="52"/>
      <c r="E844" s="52"/>
    </row>
    <row r="845">
      <c r="D845" s="52"/>
      <c r="E845" s="52"/>
    </row>
    <row r="846">
      <c r="D846" s="52"/>
      <c r="E846" s="52"/>
    </row>
    <row r="847">
      <c r="D847" s="52"/>
      <c r="E847" s="52"/>
    </row>
    <row r="848">
      <c r="D848" s="52"/>
      <c r="E848" s="52"/>
    </row>
    <row r="849">
      <c r="D849" s="52"/>
      <c r="E849" s="52"/>
    </row>
    <row r="850">
      <c r="D850" s="52"/>
      <c r="E850" s="52"/>
    </row>
    <row r="851">
      <c r="D851" s="52"/>
      <c r="E851" s="52"/>
    </row>
    <row r="852">
      <c r="D852" s="52"/>
      <c r="E852" s="52"/>
    </row>
    <row r="853">
      <c r="D853" s="52"/>
      <c r="E853" s="52"/>
    </row>
    <row r="854">
      <c r="D854" s="52"/>
      <c r="E854" s="52"/>
    </row>
    <row r="855">
      <c r="D855" s="52"/>
      <c r="E855" s="52"/>
    </row>
    <row r="856">
      <c r="D856" s="52"/>
      <c r="E856" s="52"/>
    </row>
    <row r="857">
      <c r="D857" s="52"/>
      <c r="E857" s="52"/>
    </row>
    <row r="858">
      <c r="D858" s="52"/>
      <c r="E858" s="52"/>
    </row>
    <row r="859">
      <c r="D859" s="52"/>
      <c r="E859" s="52"/>
    </row>
    <row r="860">
      <c r="D860" s="52"/>
      <c r="E860" s="52"/>
    </row>
    <row r="861">
      <c r="D861" s="52"/>
      <c r="E861" s="52"/>
    </row>
    <row r="862">
      <c r="D862" s="52"/>
      <c r="E862" s="52"/>
    </row>
    <row r="863">
      <c r="D863" s="52"/>
      <c r="E863" s="52"/>
    </row>
    <row r="864">
      <c r="D864" s="52"/>
      <c r="E864" s="52"/>
    </row>
    <row r="865">
      <c r="D865" s="52"/>
      <c r="E865" s="52"/>
    </row>
    <row r="866">
      <c r="D866" s="52"/>
      <c r="E866" s="52"/>
    </row>
    <row r="867">
      <c r="D867" s="52"/>
      <c r="E867" s="52"/>
    </row>
    <row r="868">
      <c r="D868" s="52"/>
      <c r="E868" s="52"/>
    </row>
    <row r="869">
      <c r="D869" s="52"/>
      <c r="E869" s="52"/>
    </row>
    <row r="870">
      <c r="D870" s="52"/>
      <c r="E870" s="52"/>
    </row>
    <row r="871">
      <c r="D871" s="52"/>
      <c r="E871" s="52"/>
    </row>
    <row r="872">
      <c r="D872" s="52"/>
      <c r="E872" s="52"/>
    </row>
    <row r="873">
      <c r="D873" s="52"/>
      <c r="E873" s="52"/>
    </row>
    <row r="874">
      <c r="D874" s="52"/>
      <c r="E874" s="52"/>
    </row>
    <row r="875">
      <c r="D875" s="52"/>
      <c r="E875" s="52"/>
    </row>
    <row r="876">
      <c r="D876" s="52"/>
      <c r="E876" s="52"/>
    </row>
    <row r="877">
      <c r="D877" s="52"/>
      <c r="E877" s="52"/>
    </row>
    <row r="878">
      <c r="D878" s="52"/>
      <c r="E878" s="52"/>
    </row>
    <row r="879">
      <c r="D879" s="52"/>
      <c r="E879" s="52"/>
    </row>
    <row r="880">
      <c r="D880" s="52"/>
      <c r="E880" s="52"/>
    </row>
    <row r="881">
      <c r="D881" s="52"/>
      <c r="E881" s="52"/>
    </row>
    <row r="882">
      <c r="D882" s="52"/>
      <c r="E882" s="52"/>
    </row>
    <row r="883">
      <c r="D883" s="52"/>
      <c r="E883" s="52"/>
    </row>
    <row r="884">
      <c r="D884" s="52"/>
      <c r="E884" s="52"/>
    </row>
    <row r="885">
      <c r="D885" s="52"/>
      <c r="E885" s="52"/>
    </row>
    <row r="886">
      <c r="D886" s="52"/>
      <c r="E886" s="52"/>
    </row>
    <row r="887">
      <c r="D887" s="52"/>
      <c r="E887" s="52"/>
    </row>
    <row r="888">
      <c r="D888" s="52"/>
      <c r="E888" s="52"/>
    </row>
    <row r="889">
      <c r="D889" s="52"/>
      <c r="E889" s="52"/>
    </row>
    <row r="890">
      <c r="D890" s="52"/>
      <c r="E890" s="52"/>
    </row>
    <row r="891">
      <c r="D891" s="52"/>
      <c r="E891" s="52"/>
    </row>
    <row r="892">
      <c r="D892" s="52"/>
      <c r="E892" s="52"/>
    </row>
    <row r="893">
      <c r="D893" s="52"/>
      <c r="E893" s="52"/>
    </row>
    <row r="894">
      <c r="D894" s="52"/>
      <c r="E894" s="52"/>
    </row>
    <row r="895">
      <c r="D895" s="52"/>
      <c r="E895" s="52"/>
    </row>
    <row r="896">
      <c r="D896" s="52"/>
      <c r="E896" s="52"/>
    </row>
    <row r="897">
      <c r="D897" s="52"/>
      <c r="E897" s="52"/>
    </row>
    <row r="898">
      <c r="D898" s="52"/>
      <c r="E898" s="52"/>
    </row>
    <row r="899">
      <c r="D899" s="52"/>
      <c r="E899" s="52"/>
    </row>
    <row r="900">
      <c r="D900" s="52"/>
      <c r="E900" s="52"/>
    </row>
    <row r="901">
      <c r="D901" s="52"/>
      <c r="E901" s="52"/>
    </row>
    <row r="902">
      <c r="D902" s="52"/>
      <c r="E902" s="52"/>
    </row>
    <row r="903">
      <c r="D903" s="52"/>
      <c r="E903" s="52"/>
    </row>
    <row r="904">
      <c r="D904" s="52"/>
      <c r="E904" s="52"/>
    </row>
    <row r="905">
      <c r="D905" s="52"/>
      <c r="E905" s="52"/>
    </row>
    <row r="906">
      <c r="D906" s="52"/>
      <c r="E906" s="52"/>
    </row>
    <row r="907">
      <c r="D907" s="52"/>
      <c r="E907" s="52"/>
    </row>
    <row r="908">
      <c r="D908" s="52"/>
      <c r="E908" s="52"/>
    </row>
    <row r="909">
      <c r="D909" s="52"/>
      <c r="E909" s="52"/>
    </row>
    <row r="910">
      <c r="D910" s="52"/>
      <c r="E910" s="52"/>
    </row>
    <row r="911">
      <c r="D911" s="52"/>
      <c r="E911" s="52"/>
    </row>
    <row r="912">
      <c r="D912" s="52"/>
      <c r="E912" s="52"/>
    </row>
    <row r="913">
      <c r="D913" s="52"/>
      <c r="E913" s="52"/>
    </row>
    <row r="914">
      <c r="D914" s="52"/>
      <c r="E914" s="52"/>
    </row>
    <row r="915">
      <c r="D915" s="52"/>
      <c r="E915" s="52"/>
    </row>
    <row r="916">
      <c r="D916" s="52"/>
      <c r="E916" s="52"/>
    </row>
    <row r="917">
      <c r="D917" s="52"/>
      <c r="E917" s="52"/>
    </row>
    <row r="918">
      <c r="D918" s="52"/>
      <c r="E918" s="52"/>
    </row>
    <row r="919">
      <c r="D919" s="52"/>
      <c r="E919" s="52"/>
    </row>
    <row r="920">
      <c r="D920" s="52"/>
      <c r="E920" s="52"/>
    </row>
    <row r="921">
      <c r="D921" s="52"/>
      <c r="E921" s="52"/>
    </row>
    <row r="922">
      <c r="D922" s="52"/>
      <c r="E922" s="52"/>
    </row>
    <row r="923">
      <c r="D923" s="52"/>
      <c r="E923" s="52"/>
    </row>
    <row r="924">
      <c r="D924" s="52"/>
      <c r="E924" s="52"/>
    </row>
    <row r="925">
      <c r="D925" s="52"/>
      <c r="E925" s="52"/>
    </row>
    <row r="926">
      <c r="D926" s="52"/>
      <c r="E926" s="52"/>
    </row>
    <row r="927">
      <c r="D927" s="52"/>
      <c r="E927" s="52"/>
    </row>
    <row r="928">
      <c r="D928" s="52"/>
      <c r="E928" s="52"/>
    </row>
    <row r="929">
      <c r="D929" s="52"/>
      <c r="E929" s="52"/>
    </row>
    <row r="930">
      <c r="D930" s="52"/>
      <c r="E930" s="52"/>
    </row>
    <row r="931">
      <c r="D931" s="52"/>
      <c r="E931" s="52"/>
    </row>
    <row r="932">
      <c r="D932" s="52"/>
      <c r="E932" s="52"/>
    </row>
    <row r="933">
      <c r="D933" s="52"/>
      <c r="E933" s="52"/>
    </row>
    <row r="934">
      <c r="D934" s="52"/>
      <c r="E934" s="52"/>
    </row>
    <row r="935">
      <c r="D935" s="52"/>
      <c r="E935" s="52"/>
    </row>
    <row r="936">
      <c r="D936" s="52"/>
      <c r="E936" s="52"/>
    </row>
    <row r="937">
      <c r="D937" s="52"/>
      <c r="E937" s="52"/>
    </row>
    <row r="938">
      <c r="D938" s="52"/>
      <c r="E938" s="52"/>
    </row>
    <row r="939">
      <c r="D939" s="52"/>
      <c r="E939" s="52"/>
    </row>
    <row r="940">
      <c r="D940" s="52"/>
      <c r="E940" s="52"/>
    </row>
    <row r="941">
      <c r="D941" s="52"/>
      <c r="E941" s="52"/>
    </row>
    <row r="942">
      <c r="D942" s="52"/>
      <c r="E942" s="52"/>
    </row>
    <row r="943">
      <c r="D943" s="52"/>
      <c r="E943" s="52"/>
    </row>
    <row r="944">
      <c r="D944" s="52"/>
      <c r="E944" s="52"/>
    </row>
    <row r="945">
      <c r="D945" s="52"/>
      <c r="E945" s="52"/>
    </row>
    <row r="946">
      <c r="D946" s="52"/>
      <c r="E946" s="52"/>
    </row>
    <row r="947">
      <c r="D947" s="52"/>
      <c r="E947" s="52"/>
    </row>
    <row r="948">
      <c r="D948" s="52"/>
      <c r="E948" s="52"/>
    </row>
    <row r="949">
      <c r="D949" s="52"/>
      <c r="E949" s="52"/>
    </row>
    <row r="950">
      <c r="D950" s="52"/>
      <c r="E950" s="52"/>
    </row>
    <row r="951">
      <c r="D951" s="52"/>
      <c r="E951" s="52"/>
    </row>
    <row r="952">
      <c r="D952" s="52"/>
      <c r="E952" s="52"/>
    </row>
    <row r="953">
      <c r="D953" s="52"/>
      <c r="E953" s="52"/>
    </row>
    <row r="954">
      <c r="D954" s="52"/>
      <c r="E954" s="52"/>
    </row>
    <row r="955">
      <c r="D955" s="52"/>
      <c r="E955" s="52"/>
    </row>
    <row r="956">
      <c r="D956" s="52"/>
      <c r="E956" s="52"/>
    </row>
    <row r="957">
      <c r="D957" s="52"/>
      <c r="E957" s="52"/>
    </row>
    <row r="958">
      <c r="D958" s="52"/>
      <c r="E958" s="52"/>
    </row>
    <row r="959">
      <c r="D959" s="52"/>
      <c r="E959" s="52"/>
    </row>
    <row r="960">
      <c r="D960" s="52"/>
      <c r="E960" s="52"/>
    </row>
    <row r="961">
      <c r="D961" s="52"/>
      <c r="E961" s="52"/>
    </row>
    <row r="962">
      <c r="D962" s="52"/>
      <c r="E962" s="52"/>
    </row>
    <row r="963">
      <c r="D963" s="52"/>
      <c r="E963" s="52"/>
    </row>
    <row r="964">
      <c r="D964" s="52"/>
      <c r="E964" s="52"/>
    </row>
    <row r="965">
      <c r="D965" s="52"/>
      <c r="E965" s="52"/>
    </row>
    <row r="966">
      <c r="D966" s="52"/>
      <c r="E966" s="52"/>
    </row>
    <row r="967">
      <c r="D967" s="52"/>
      <c r="E967" s="52"/>
    </row>
    <row r="968">
      <c r="D968" s="52"/>
      <c r="E968" s="52"/>
    </row>
    <row r="969">
      <c r="D969" s="52"/>
      <c r="E969" s="52"/>
    </row>
    <row r="970">
      <c r="D970" s="52"/>
      <c r="E970" s="52"/>
    </row>
    <row r="971">
      <c r="D971" s="52"/>
      <c r="E971" s="52"/>
    </row>
    <row r="972">
      <c r="D972" s="52"/>
      <c r="E972" s="52"/>
    </row>
    <row r="973">
      <c r="D973" s="52"/>
      <c r="E973" s="52"/>
    </row>
    <row r="974">
      <c r="D974" s="52"/>
      <c r="E974" s="52"/>
    </row>
    <row r="975">
      <c r="D975" s="52"/>
      <c r="E975" s="52"/>
    </row>
    <row r="976">
      <c r="D976" s="52"/>
      <c r="E976" s="52"/>
    </row>
    <row r="977">
      <c r="D977" s="52"/>
      <c r="E977" s="52"/>
    </row>
    <row r="978">
      <c r="D978" s="52"/>
      <c r="E978" s="52"/>
    </row>
    <row r="979">
      <c r="D979" s="52"/>
      <c r="E979" s="52"/>
    </row>
    <row r="980">
      <c r="D980" s="52"/>
      <c r="E980" s="52"/>
    </row>
    <row r="981">
      <c r="D981" s="52"/>
      <c r="E981" s="52"/>
    </row>
    <row r="982">
      <c r="D982" s="52"/>
      <c r="E982" s="52"/>
    </row>
    <row r="983">
      <c r="D983" s="52"/>
      <c r="E983" s="52"/>
    </row>
    <row r="984">
      <c r="D984" s="52"/>
      <c r="E984" s="52"/>
    </row>
    <row r="985">
      <c r="D985" s="52"/>
      <c r="E985" s="52"/>
    </row>
    <row r="986">
      <c r="D986" s="52"/>
      <c r="E986" s="52"/>
    </row>
    <row r="987">
      <c r="D987" s="52"/>
      <c r="E987" s="52"/>
    </row>
    <row r="988">
      <c r="D988" s="52"/>
      <c r="E988" s="52"/>
    </row>
    <row r="989">
      <c r="D989" s="52"/>
      <c r="E989" s="52"/>
    </row>
    <row r="990">
      <c r="D990" s="52"/>
      <c r="E990" s="52"/>
    </row>
    <row r="991">
      <c r="D991" s="52"/>
      <c r="E991" s="52"/>
    </row>
    <row r="992">
      <c r="D992" s="52"/>
      <c r="E992" s="52"/>
    </row>
    <row r="993">
      <c r="D993" s="52"/>
      <c r="E993" s="52"/>
    </row>
    <row r="994">
      <c r="D994" s="52"/>
      <c r="E994" s="52"/>
    </row>
    <row r="995">
      <c r="D995" s="52"/>
      <c r="E995" s="52"/>
    </row>
    <row r="996">
      <c r="D996" s="52"/>
      <c r="E996" s="52"/>
    </row>
    <row r="997">
      <c r="D997" s="52"/>
      <c r="E997" s="52"/>
    </row>
    <row r="998">
      <c r="D998" s="52"/>
      <c r="E998" s="52"/>
    </row>
    <row r="999">
      <c r="D999" s="52"/>
      <c r="E999" s="52"/>
    </row>
    <row r="1000">
      <c r="D1000" s="52"/>
      <c r="E1000" s="52"/>
    </row>
  </sheetData>
  <drawing r:id="rId1"/>
</worksheet>
</file>